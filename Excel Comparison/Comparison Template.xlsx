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ler\OneDrive - MassMutual\Desktop\"/>
    </mc:Choice>
  </mc:AlternateContent>
  <xr:revisionPtr revIDLastSave="0" documentId="13_ncr:1_{A40B2782-E39F-4809-8A6A-83C2886E3817}" xr6:coauthVersionLast="47" xr6:coauthVersionMax="47" xr10:uidLastSave="{00000000-0000-0000-0000-000000000000}"/>
  <bookViews>
    <workbookView xWindow="2715" yWindow="780" windowWidth="23760" windowHeight="14205" xr2:uid="{C684AE65-4C48-4923-9AEF-7AC9BC32C445}"/>
  </bookViews>
  <sheets>
    <sheet name="Table 1" sheetId="1" r:id="rId1"/>
    <sheet name="Table 2" sheetId="5" r:id="rId2"/>
    <sheet name="Sheet4" sheetId="4" r:id="rId3"/>
    <sheet name="Sheet3" sheetId="3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5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H10" i="5"/>
  <c r="L4" i="5"/>
  <c r="M4" i="5"/>
  <c r="L5" i="5"/>
  <c r="M5" i="5"/>
  <c r="L6" i="5"/>
  <c r="M6" i="5"/>
  <c r="L7" i="5"/>
  <c r="M7" i="5"/>
  <c r="L8" i="5"/>
  <c r="M8" i="5"/>
  <c r="L9" i="5"/>
  <c r="M9" i="5"/>
  <c r="L10" i="5"/>
  <c r="M10" i="5"/>
  <c r="L11" i="5"/>
  <c r="M11" i="5"/>
  <c r="L12" i="5"/>
  <c r="M12" i="5"/>
  <c r="L13" i="5"/>
  <c r="M13" i="5"/>
  <c r="L14" i="5"/>
  <c r="M14" i="5"/>
  <c r="L15" i="5"/>
  <c r="M15" i="5"/>
  <c r="L16" i="5"/>
  <c r="M16" i="5"/>
  <c r="L17" i="5"/>
  <c r="M17" i="5"/>
  <c r="L18" i="5"/>
  <c r="M18" i="5"/>
  <c r="L19" i="5"/>
  <c r="M19" i="5"/>
  <c r="L20" i="5"/>
  <c r="M20" i="5"/>
  <c r="L21" i="5"/>
  <c r="M21" i="5"/>
  <c r="L22" i="5"/>
  <c r="M22" i="5"/>
  <c r="L23" i="5"/>
  <c r="M23" i="5"/>
  <c r="L24" i="5"/>
  <c r="M24" i="5"/>
  <c r="L25" i="5"/>
  <c r="M25" i="5"/>
  <c r="L26" i="5"/>
  <c r="M26" i="5"/>
  <c r="L27" i="5"/>
  <c r="M27" i="5"/>
  <c r="L28" i="5"/>
  <c r="M28" i="5"/>
  <c r="L29" i="5"/>
  <c r="M29" i="5"/>
  <c r="L30" i="5"/>
  <c r="M30" i="5"/>
  <c r="L31" i="5"/>
  <c r="M31" i="5"/>
  <c r="L32" i="5"/>
  <c r="M32" i="5"/>
  <c r="L33" i="5"/>
  <c r="M33" i="5"/>
  <c r="L34" i="5"/>
  <c r="M34" i="5"/>
  <c r="L35" i="5"/>
  <c r="M35" i="5"/>
  <c r="L36" i="5"/>
  <c r="M36" i="5"/>
  <c r="L37" i="5"/>
  <c r="M37" i="5"/>
  <c r="L38" i="5"/>
  <c r="M38" i="5"/>
  <c r="L39" i="5"/>
  <c r="M39" i="5"/>
  <c r="L40" i="5"/>
  <c r="M40" i="5"/>
  <c r="L41" i="5"/>
  <c r="M41" i="5"/>
  <c r="L42" i="5"/>
  <c r="M42" i="5"/>
  <c r="L43" i="5"/>
  <c r="M43" i="5"/>
  <c r="L44" i="5"/>
  <c r="M44" i="5"/>
  <c r="L45" i="5"/>
  <c r="M45" i="5"/>
  <c r="L46" i="5"/>
  <c r="M46" i="5"/>
  <c r="L47" i="5"/>
  <c r="M47" i="5"/>
  <c r="L48" i="5"/>
  <c r="M48" i="5"/>
  <c r="L49" i="5"/>
  <c r="M49" i="5"/>
  <c r="L50" i="5"/>
  <c r="M50" i="5"/>
  <c r="L51" i="5"/>
  <c r="M51" i="5"/>
  <c r="L52" i="5"/>
  <c r="M52" i="5"/>
  <c r="L53" i="5"/>
  <c r="M53" i="5"/>
  <c r="L54" i="5"/>
  <c r="M54" i="5"/>
  <c r="L55" i="5"/>
  <c r="M55" i="5"/>
  <c r="M3" i="5"/>
  <c r="L3" i="5"/>
  <c r="J4" i="5"/>
  <c r="J5" i="5"/>
  <c r="J6" i="5"/>
  <c r="J7" i="5"/>
  <c r="J8" i="5"/>
  <c r="J9" i="5"/>
  <c r="J10" i="5"/>
  <c r="J11" i="5"/>
  <c r="J12" i="5"/>
  <c r="J3" i="5"/>
  <c r="K3" i="5"/>
  <c r="I4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C4" i="5"/>
  <c r="E4" i="5"/>
  <c r="F4" i="5"/>
  <c r="C5" i="5"/>
  <c r="E5" i="5"/>
  <c r="F5" i="5"/>
  <c r="C6" i="5"/>
  <c r="E6" i="5"/>
  <c r="F6" i="5"/>
  <c r="C7" i="5"/>
  <c r="E7" i="5"/>
  <c r="F7" i="5"/>
  <c r="C8" i="5"/>
  <c r="E8" i="5"/>
  <c r="F8" i="5"/>
  <c r="C9" i="5"/>
  <c r="E9" i="5"/>
  <c r="F9" i="5"/>
  <c r="C10" i="5"/>
  <c r="E10" i="5"/>
  <c r="F10" i="5"/>
  <c r="C11" i="5"/>
  <c r="E11" i="5"/>
  <c r="F11" i="5"/>
  <c r="C12" i="5"/>
  <c r="E12" i="5"/>
  <c r="F12" i="5"/>
  <c r="C13" i="5"/>
  <c r="E13" i="5"/>
  <c r="F13" i="5"/>
  <c r="C14" i="5"/>
  <c r="E14" i="5"/>
  <c r="F14" i="5"/>
  <c r="C15" i="5"/>
  <c r="E15" i="5"/>
  <c r="F15" i="5"/>
  <c r="C16" i="5"/>
  <c r="E16" i="5"/>
  <c r="F16" i="5"/>
  <c r="C17" i="5"/>
  <c r="E17" i="5"/>
  <c r="F17" i="5"/>
  <c r="C18" i="5"/>
  <c r="E18" i="5"/>
  <c r="F18" i="5"/>
  <c r="C19" i="5"/>
  <c r="E19" i="5"/>
  <c r="F19" i="5"/>
  <c r="C20" i="5"/>
  <c r="E20" i="5"/>
  <c r="F20" i="5"/>
  <c r="C21" i="5"/>
  <c r="E21" i="5"/>
  <c r="F21" i="5"/>
  <c r="C22" i="5"/>
  <c r="E22" i="5"/>
  <c r="F22" i="5"/>
  <c r="C23" i="5"/>
  <c r="E23" i="5"/>
  <c r="F23" i="5"/>
  <c r="C24" i="5"/>
  <c r="E24" i="5"/>
  <c r="F24" i="5"/>
  <c r="C25" i="5"/>
  <c r="E25" i="5"/>
  <c r="F25" i="5"/>
  <c r="C26" i="5"/>
  <c r="E26" i="5"/>
  <c r="F26" i="5"/>
  <c r="C27" i="5"/>
  <c r="E27" i="5"/>
  <c r="F27" i="5"/>
  <c r="C28" i="5"/>
  <c r="E28" i="5"/>
  <c r="F28" i="5"/>
  <c r="C29" i="5"/>
  <c r="E29" i="5"/>
  <c r="F29" i="5"/>
  <c r="C30" i="5"/>
  <c r="E30" i="5"/>
  <c r="F30" i="5"/>
  <c r="C31" i="5"/>
  <c r="E31" i="5"/>
  <c r="F31" i="5"/>
  <c r="C32" i="5"/>
  <c r="E32" i="5"/>
  <c r="F32" i="5"/>
  <c r="C33" i="5"/>
  <c r="E33" i="5"/>
  <c r="F33" i="5"/>
  <c r="C34" i="5"/>
  <c r="E34" i="5"/>
  <c r="F34" i="5"/>
  <c r="C35" i="5"/>
  <c r="E35" i="5"/>
  <c r="F35" i="5"/>
  <c r="C36" i="5"/>
  <c r="E36" i="5"/>
  <c r="F36" i="5"/>
  <c r="C37" i="5"/>
  <c r="E37" i="5"/>
  <c r="F37" i="5"/>
  <c r="C38" i="5"/>
  <c r="E38" i="5"/>
  <c r="F38" i="5"/>
  <c r="C39" i="5"/>
  <c r="E39" i="5"/>
  <c r="F39" i="5"/>
  <c r="C40" i="5"/>
  <c r="E40" i="5"/>
  <c r="F40" i="5"/>
  <c r="C41" i="5"/>
  <c r="E41" i="5"/>
  <c r="F41" i="5"/>
  <c r="C42" i="5"/>
  <c r="E42" i="5"/>
  <c r="F42" i="5"/>
  <c r="C43" i="5"/>
  <c r="E43" i="5"/>
  <c r="F43" i="5"/>
  <c r="C44" i="5"/>
  <c r="E44" i="5"/>
  <c r="F44" i="5"/>
  <c r="C45" i="5"/>
  <c r="E45" i="5"/>
  <c r="F45" i="5"/>
  <c r="C46" i="5"/>
  <c r="E46" i="5"/>
  <c r="F46" i="5"/>
  <c r="C47" i="5"/>
  <c r="E47" i="5"/>
  <c r="F47" i="5"/>
  <c r="C48" i="5"/>
  <c r="E48" i="5"/>
  <c r="F48" i="5"/>
  <c r="C49" i="5"/>
  <c r="E49" i="5"/>
  <c r="F49" i="5"/>
  <c r="C50" i="5"/>
  <c r="E50" i="5"/>
  <c r="F50" i="5"/>
  <c r="C51" i="5"/>
  <c r="E51" i="5"/>
  <c r="F51" i="5"/>
  <c r="C52" i="5"/>
  <c r="E52" i="5"/>
  <c r="F52" i="5"/>
  <c r="C53" i="5"/>
  <c r="E53" i="5"/>
  <c r="F53" i="5"/>
  <c r="C54" i="5"/>
  <c r="E54" i="5"/>
  <c r="F54" i="5"/>
  <c r="C55" i="5"/>
  <c r="E55" i="5"/>
  <c r="F55" i="5"/>
  <c r="F3" i="5"/>
  <c r="E3" i="5"/>
  <c r="C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C3" i="1"/>
  <c r="Q4" i="1"/>
  <c r="S4" i="1"/>
  <c r="T4" i="1"/>
  <c r="Q5" i="1"/>
  <c r="S5" i="1"/>
  <c r="T5" i="1"/>
  <c r="Q6" i="1"/>
  <c r="S6" i="1"/>
  <c r="T6" i="1"/>
  <c r="Q7" i="1"/>
  <c r="S7" i="1"/>
  <c r="T7" i="1"/>
  <c r="Q8" i="1"/>
  <c r="S8" i="1"/>
  <c r="T8" i="1"/>
  <c r="Q9" i="1"/>
  <c r="S9" i="1"/>
  <c r="T9" i="1"/>
  <c r="Q10" i="1"/>
  <c r="S10" i="1"/>
  <c r="T10" i="1"/>
  <c r="Q11" i="1"/>
  <c r="S11" i="1"/>
  <c r="T11" i="1"/>
  <c r="Q12" i="1"/>
  <c r="S12" i="1"/>
  <c r="T12" i="1"/>
  <c r="Q13" i="1"/>
  <c r="S13" i="1"/>
  <c r="T13" i="1"/>
  <c r="Q14" i="1"/>
  <c r="S14" i="1"/>
  <c r="T14" i="1"/>
  <c r="Q15" i="1"/>
  <c r="S15" i="1"/>
  <c r="T15" i="1"/>
  <c r="Q16" i="1"/>
  <c r="S16" i="1"/>
  <c r="T16" i="1"/>
  <c r="Q17" i="1"/>
  <c r="S17" i="1"/>
  <c r="T17" i="1"/>
  <c r="Q18" i="1"/>
  <c r="S18" i="1"/>
  <c r="T18" i="1"/>
  <c r="Q19" i="1"/>
  <c r="S19" i="1"/>
  <c r="T19" i="1"/>
  <c r="Q20" i="1"/>
  <c r="S20" i="1"/>
  <c r="T20" i="1"/>
  <c r="Q21" i="1"/>
  <c r="S21" i="1"/>
  <c r="T21" i="1"/>
  <c r="Q22" i="1"/>
  <c r="S22" i="1"/>
  <c r="T22" i="1"/>
  <c r="Q23" i="1"/>
  <c r="S23" i="1"/>
  <c r="T23" i="1"/>
  <c r="Q24" i="1"/>
  <c r="S24" i="1"/>
  <c r="T24" i="1"/>
  <c r="Q25" i="1"/>
  <c r="S25" i="1"/>
  <c r="T25" i="1"/>
  <c r="Q26" i="1"/>
  <c r="S26" i="1"/>
  <c r="T26" i="1"/>
  <c r="Q27" i="1"/>
  <c r="S27" i="1"/>
  <c r="T27" i="1"/>
  <c r="Q28" i="1"/>
  <c r="S28" i="1"/>
  <c r="T28" i="1"/>
  <c r="Q29" i="1"/>
  <c r="S29" i="1"/>
  <c r="T29" i="1"/>
  <c r="Q30" i="1"/>
  <c r="S30" i="1"/>
  <c r="T30" i="1"/>
  <c r="Q31" i="1"/>
  <c r="S31" i="1"/>
  <c r="T31" i="1"/>
  <c r="Q32" i="1"/>
  <c r="S32" i="1"/>
  <c r="T32" i="1"/>
  <c r="Q33" i="1"/>
  <c r="S33" i="1"/>
  <c r="T33" i="1"/>
  <c r="Q34" i="1"/>
  <c r="S34" i="1"/>
  <c r="T34" i="1"/>
  <c r="Q35" i="1"/>
  <c r="S35" i="1"/>
  <c r="T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T3" i="1"/>
  <c r="S3" i="1"/>
  <c r="Q3" i="1"/>
  <c r="J4" i="1"/>
  <c r="L4" i="1"/>
  <c r="M4" i="1"/>
  <c r="J5" i="1"/>
  <c r="L5" i="1"/>
  <c r="M5" i="1"/>
  <c r="J6" i="1"/>
  <c r="L6" i="1"/>
  <c r="M6" i="1"/>
  <c r="J7" i="1"/>
  <c r="L7" i="1"/>
  <c r="M7" i="1"/>
  <c r="J8" i="1"/>
  <c r="L8" i="1"/>
  <c r="M8" i="1"/>
  <c r="J9" i="1"/>
  <c r="L9" i="1"/>
  <c r="M9" i="1"/>
  <c r="J10" i="1"/>
  <c r="L10" i="1"/>
  <c r="M10" i="1"/>
  <c r="J11" i="1"/>
  <c r="L11" i="1"/>
  <c r="M11" i="1"/>
  <c r="J12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M3" i="1"/>
  <c r="L3" i="1"/>
  <c r="J3" i="1"/>
  <c r="K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F3" i="1"/>
  <c r="E3" i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K4" i="5" l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N55" i="5" s="1"/>
  <c r="N3" i="5"/>
  <c r="D3" i="5"/>
  <c r="D52" i="1"/>
  <c r="G52" i="1" s="1"/>
  <c r="D42" i="1"/>
  <c r="G42" i="1" s="1"/>
  <c r="D43" i="1"/>
  <c r="G43" i="1" s="1"/>
  <c r="D51" i="1"/>
  <c r="G51" i="1" s="1"/>
  <c r="D54" i="1"/>
  <c r="G54" i="1" s="1"/>
  <c r="D39" i="1"/>
  <c r="G39" i="1" s="1"/>
  <c r="D45" i="1"/>
  <c r="G45" i="1" s="1"/>
  <c r="D50" i="1"/>
  <c r="G50" i="1" s="1"/>
  <c r="D55" i="1"/>
  <c r="G55" i="1" s="1"/>
  <c r="D44" i="1"/>
  <c r="G44" i="1" s="1"/>
  <c r="D49" i="1"/>
  <c r="G49" i="1" s="1"/>
  <c r="D48" i="1"/>
  <c r="G48" i="1" s="1"/>
  <c r="D53" i="1"/>
  <c r="G53" i="1" s="1"/>
  <c r="D47" i="1"/>
  <c r="G47" i="1" s="1"/>
  <c r="D41" i="1"/>
  <c r="G41" i="1" s="1"/>
  <c r="D46" i="1"/>
  <c r="G46" i="1" s="1"/>
  <c r="D40" i="1"/>
  <c r="G40" i="1" s="1"/>
  <c r="D4" i="1"/>
  <c r="G4" i="1" s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N40" i="1" s="1"/>
  <c r="D17" i="1"/>
  <c r="G17" i="1" s="1"/>
  <c r="D3" i="1"/>
  <c r="G3" i="1" s="1"/>
  <c r="D14" i="1"/>
  <c r="G14" i="1" s="1"/>
  <c r="D9" i="1"/>
  <c r="G9" i="1"/>
  <c r="N3" i="1"/>
  <c r="D20" i="1"/>
  <c r="G20" i="1" s="1"/>
  <c r="D23" i="1"/>
  <c r="G23" i="1" s="1"/>
  <c r="D7" i="1"/>
  <c r="G7" i="1" s="1"/>
  <c r="D12" i="1"/>
  <c r="G12" i="1" s="1"/>
  <c r="D30" i="1"/>
  <c r="G30" i="1" s="1"/>
  <c r="D36" i="1"/>
  <c r="G36" i="1" s="1"/>
  <c r="D37" i="1"/>
  <c r="G37" i="1" s="1"/>
  <c r="D24" i="1"/>
  <c r="G24" i="1" s="1"/>
  <c r="D31" i="1"/>
  <c r="G31" i="1" s="1"/>
  <c r="D5" i="1"/>
  <c r="G5" i="1" s="1"/>
  <c r="D10" i="1"/>
  <c r="G10" i="1" s="1"/>
  <c r="D15" i="1"/>
  <c r="G15" i="1" s="1"/>
  <c r="D38" i="1"/>
  <c r="G38" i="1" s="1"/>
  <c r="D18" i="1"/>
  <c r="G18" i="1" s="1"/>
  <c r="D25" i="1"/>
  <c r="G25" i="1" s="1"/>
  <c r="D21" i="1"/>
  <c r="G21" i="1" s="1"/>
  <c r="D32" i="1"/>
  <c r="G32" i="1" s="1"/>
  <c r="D8" i="1"/>
  <c r="G8" i="1" s="1"/>
  <c r="D13" i="1"/>
  <c r="G13" i="1" s="1"/>
  <c r="D26" i="1"/>
  <c r="G26" i="1" s="1"/>
  <c r="D33" i="1"/>
  <c r="G33" i="1" s="1"/>
  <c r="D16" i="1"/>
  <c r="G16" i="1" s="1"/>
  <c r="D27" i="1"/>
  <c r="G27" i="1" s="1"/>
  <c r="D6" i="1"/>
  <c r="G6" i="1" s="1"/>
  <c r="D11" i="1"/>
  <c r="G11" i="1" s="1"/>
  <c r="D19" i="1"/>
  <c r="G19" i="1" s="1"/>
  <c r="D34" i="1"/>
  <c r="G34" i="1" s="1"/>
  <c r="I3" i="1"/>
  <c r="D22" i="1"/>
  <c r="G22" i="1" s="1"/>
  <c r="D28" i="1"/>
  <c r="G28" i="1" s="1"/>
  <c r="D29" i="1"/>
  <c r="G29" i="1" s="1"/>
  <c r="D35" i="1"/>
  <c r="G35" i="1" s="1"/>
  <c r="N5" i="5" l="1"/>
  <c r="N4" i="5"/>
  <c r="N6" i="5"/>
  <c r="N49" i="5"/>
  <c r="N42" i="5"/>
  <c r="N43" i="5"/>
  <c r="N41" i="5"/>
  <c r="N54" i="5"/>
  <c r="N44" i="5"/>
  <c r="N52" i="5"/>
  <c r="N51" i="5"/>
  <c r="N50" i="5"/>
  <c r="N48" i="5"/>
  <c r="N53" i="5"/>
  <c r="N45" i="5"/>
  <c r="N47" i="5"/>
  <c r="N46" i="5"/>
  <c r="G3" i="5"/>
  <c r="D4" i="5"/>
  <c r="N7" i="5"/>
  <c r="N10" i="5"/>
  <c r="N9" i="5"/>
  <c r="N8" i="5"/>
  <c r="K41" i="1"/>
  <c r="K42" i="1" s="1"/>
  <c r="K43" i="1" s="1"/>
  <c r="N4" i="1"/>
  <c r="N7" i="1"/>
  <c r="N5" i="1"/>
  <c r="N6" i="1"/>
  <c r="I4" i="1"/>
  <c r="N8" i="1"/>
  <c r="R3" i="1"/>
  <c r="D5" i="5" l="1"/>
  <c r="G4" i="5"/>
  <c r="N11" i="5"/>
  <c r="N41" i="1"/>
  <c r="N42" i="1"/>
  <c r="K44" i="1"/>
  <c r="N43" i="1"/>
  <c r="U3" i="1"/>
  <c r="R4" i="1"/>
  <c r="N9" i="1"/>
  <c r="I5" i="1"/>
  <c r="D6" i="5" l="1"/>
  <c r="G5" i="5"/>
  <c r="N12" i="5"/>
  <c r="N44" i="1"/>
  <c r="K45" i="1"/>
  <c r="R5" i="1"/>
  <c r="U4" i="1"/>
  <c r="N10" i="1"/>
  <c r="I6" i="1"/>
  <c r="D7" i="5" l="1"/>
  <c r="G6" i="5"/>
  <c r="N13" i="5"/>
  <c r="N45" i="1"/>
  <c r="K46" i="1"/>
  <c r="R6" i="1"/>
  <c r="U5" i="1"/>
  <c r="I7" i="1"/>
  <c r="N11" i="1"/>
  <c r="D8" i="5" l="1"/>
  <c r="G7" i="5"/>
  <c r="N14" i="5"/>
  <c r="K47" i="1"/>
  <c r="N46" i="1"/>
  <c r="R7" i="1"/>
  <c r="U6" i="1"/>
  <c r="N12" i="1"/>
  <c r="I8" i="1"/>
  <c r="D9" i="5" l="1"/>
  <c r="G8" i="5"/>
  <c r="N15" i="5"/>
  <c r="N47" i="1"/>
  <c r="K48" i="1"/>
  <c r="R8" i="1"/>
  <c r="U7" i="1"/>
  <c r="I9" i="1"/>
  <c r="N13" i="1"/>
  <c r="D10" i="5" l="1"/>
  <c r="G9" i="5"/>
  <c r="N16" i="5"/>
  <c r="N48" i="1"/>
  <c r="K49" i="1"/>
  <c r="R9" i="1"/>
  <c r="U8" i="1"/>
  <c r="I10" i="1"/>
  <c r="N14" i="1"/>
  <c r="D11" i="5" l="1"/>
  <c r="G10" i="5"/>
  <c r="N17" i="5"/>
  <c r="N49" i="1"/>
  <c r="K50" i="1"/>
  <c r="R10" i="1"/>
  <c r="U9" i="1"/>
  <c r="I11" i="1"/>
  <c r="N15" i="1"/>
  <c r="D12" i="5" l="1"/>
  <c r="G11" i="5"/>
  <c r="N18" i="5"/>
  <c r="N50" i="1"/>
  <c r="K51" i="1"/>
  <c r="R11" i="1"/>
  <c r="U10" i="1"/>
  <c r="I12" i="1"/>
  <c r="N16" i="1"/>
  <c r="D13" i="5" l="1"/>
  <c r="G12" i="5"/>
  <c r="N19" i="5"/>
  <c r="K52" i="1"/>
  <c r="N51" i="1"/>
  <c r="R12" i="1"/>
  <c r="U11" i="1"/>
  <c r="N17" i="1"/>
  <c r="I13" i="1"/>
  <c r="G13" i="5" l="1"/>
  <c r="D14" i="5"/>
  <c r="N20" i="5"/>
  <c r="N52" i="1"/>
  <c r="K53" i="1"/>
  <c r="R13" i="1"/>
  <c r="U12" i="1"/>
  <c r="I14" i="1"/>
  <c r="N18" i="1"/>
  <c r="D15" i="5" l="1"/>
  <c r="G14" i="5"/>
  <c r="N21" i="5"/>
  <c r="N53" i="1"/>
  <c r="K54" i="1"/>
  <c r="R14" i="1"/>
  <c r="U13" i="1"/>
  <c r="I15" i="1"/>
  <c r="N19" i="1"/>
  <c r="D16" i="5" l="1"/>
  <c r="G15" i="5"/>
  <c r="N22" i="5"/>
  <c r="K55" i="1"/>
  <c r="N55" i="1" s="1"/>
  <c r="N54" i="1"/>
  <c r="R15" i="1"/>
  <c r="U14" i="1"/>
  <c r="N20" i="1"/>
  <c r="I16" i="1"/>
  <c r="D17" i="5" l="1"/>
  <c r="G16" i="5"/>
  <c r="N23" i="5"/>
  <c r="R16" i="1"/>
  <c r="U15" i="1"/>
  <c r="I17" i="1"/>
  <c r="N21" i="1"/>
  <c r="D18" i="5" l="1"/>
  <c r="G17" i="5"/>
  <c r="N24" i="5"/>
  <c r="R17" i="1"/>
  <c r="U16" i="1"/>
  <c r="N22" i="1"/>
  <c r="I18" i="1"/>
  <c r="D19" i="5" l="1"/>
  <c r="G18" i="5"/>
  <c r="N25" i="5"/>
  <c r="R18" i="1"/>
  <c r="U17" i="1"/>
  <c r="I19" i="1"/>
  <c r="N23" i="1"/>
  <c r="D20" i="5" l="1"/>
  <c r="G19" i="5"/>
  <c r="N26" i="5"/>
  <c r="R19" i="1"/>
  <c r="U18" i="1"/>
  <c r="N24" i="1"/>
  <c r="I20" i="1"/>
  <c r="D21" i="5" l="1"/>
  <c r="G20" i="5"/>
  <c r="N27" i="5"/>
  <c r="R20" i="1"/>
  <c r="U19" i="1"/>
  <c r="I21" i="1"/>
  <c r="N25" i="1"/>
  <c r="D22" i="5" l="1"/>
  <c r="G21" i="5"/>
  <c r="N28" i="5"/>
  <c r="R21" i="1"/>
  <c r="U20" i="1"/>
  <c r="N26" i="1"/>
  <c r="I22" i="1"/>
  <c r="D23" i="5" l="1"/>
  <c r="G22" i="5"/>
  <c r="N29" i="5"/>
  <c r="R22" i="1"/>
  <c r="U21" i="1"/>
  <c r="I23" i="1"/>
  <c r="N27" i="1"/>
  <c r="D24" i="5" l="1"/>
  <c r="G23" i="5"/>
  <c r="N30" i="5"/>
  <c r="R23" i="1"/>
  <c r="U22" i="1"/>
  <c r="N28" i="1"/>
  <c r="I24" i="1"/>
  <c r="D25" i="5" l="1"/>
  <c r="G24" i="5"/>
  <c r="N31" i="5"/>
  <c r="R24" i="1"/>
  <c r="U23" i="1"/>
  <c r="I25" i="1"/>
  <c r="N29" i="1"/>
  <c r="D26" i="5" l="1"/>
  <c r="G25" i="5"/>
  <c r="N32" i="5"/>
  <c r="R25" i="1"/>
  <c r="U24" i="1"/>
  <c r="N30" i="1"/>
  <c r="I26" i="1"/>
  <c r="D27" i="5" l="1"/>
  <c r="G26" i="5"/>
  <c r="N33" i="5"/>
  <c r="R26" i="1"/>
  <c r="U25" i="1"/>
  <c r="I27" i="1"/>
  <c r="N31" i="1"/>
  <c r="D28" i="5" l="1"/>
  <c r="G27" i="5"/>
  <c r="N34" i="5"/>
  <c r="R27" i="1"/>
  <c r="U26" i="1"/>
  <c r="N32" i="1"/>
  <c r="I28" i="1"/>
  <c r="D29" i="5" l="1"/>
  <c r="G28" i="5"/>
  <c r="N35" i="5"/>
  <c r="R28" i="1"/>
  <c r="U27" i="1"/>
  <c r="I29" i="1"/>
  <c r="N33" i="1"/>
  <c r="D30" i="5" l="1"/>
  <c r="G29" i="5"/>
  <c r="N36" i="5"/>
  <c r="R29" i="1"/>
  <c r="U28" i="1"/>
  <c r="N34" i="1"/>
  <c r="I30" i="1"/>
  <c r="D31" i="5" l="1"/>
  <c r="G30" i="5"/>
  <c r="N37" i="5"/>
  <c r="R30" i="1"/>
  <c r="U29" i="1"/>
  <c r="I31" i="1"/>
  <c r="N35" i="1"/>
  <c r="D32" i="5" l="1"/>
  <c r="G31" i="5"/>
  <c r="N38" i="5"/>
  <c r="R31" i="1"/>
  <c r="U30" i="1"/>
  <c r="I32" i="1"/>
  <c r="N36" i="1"/>
  <c r="D33" i="5" l="1"/>
  <c r="G32" i="5"/>
  <c r="N40" i="5"/>
  <c r="N39" i="5"/>
  <c r="R32" i="1"/>
  <c r="U31" i="1"/>
  <c r="N37" i="1"/>
  <c r="I33" i="1"/>
  <c r="D34" i="5" l="1"/>
  <c r="G33" i="5"/>
  <c r="R33" i="1"/>
  <c r="U32" i="1"/>
  <c r="I34" i="1"/>
  <c r="N38" i="1"/>
  <c r="D35" i="5" l="1"/>
  <c r="G34" i="5"/>
  <c r="R34" i="1"/>
  <c r="U33" i="1"/>
  <c r="I35" i="1"/>
  <c r="N39" i="1"/>
  <c r="D36" i="5" l="1"/>
  <c r="G35" i="5"/>
  <c r="R35" i="1"/>
  <c r="R36" i="1" s="1"/>
  <c r="U34" i="1"/>
  <c r="I36" i="1"/>
  <c r="D37" i="5" l="1"/>
  <c r="G36" i="5"/>
  <c r="R37" i="1"/>
  <c r="U36" i="1"/>
  <c r="U35" i="1"/>
  <c r="I37" i="1"/>
  <c r="D38" i="5" l="1"/>
  <c r="G37" i="5"/>
  <c r="U37" i="1"/>
  <c r="R38" i="1"/>
  <c r="I38" i="1"/>
  <c r="D39" i="5" l="1"/>
  <c r="G38" i="5"/>
  <c r="U38" i="1"/>
  <c r="R39" i="1"/>
  <c r="I39" i="1"/>
  <c r="D40" i="5" l="1"/>
  <c r="G39" i="5"/>
  <c r="R40" i="1"/>
  <c r="U39" i="1"/>
  <c r="I40" i="1"/>
  <c r="D41" i="5" l="1"/>
  <c r="G40" i="5"/>
  <c r="U40" i="1"/>
  <c r="R41" i="1"/>
  <c r="I41" i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D42" i="5" l="1"/>
  <c r="G41" i="5"/>
  <c r="U41" i="1"/>
  <c r="R42" i="1"/>
  <c r="D43" i="5" l="1"/>
  <c r="G42" i="5"/>
  <c r="R43" i="1"/>
  <c r="U42" i="1"/>
  <c r="D44" i="5" l="1"/>
  <c r="G43" i="5"/>
  <c r="U43" i="1"/>
  <c r="R44" i="1"/>
  <c r="D45" i="5" l="1"/>
  <c r="G44" i="5"/>
  <c r="U44" i="1"/>
  <c r="R45" i="1"/>
  <c r="D46" i="5" l="1"/>
  <c r="G45" i="5"/>
  <c r="R46" i="1"/>
  <c r="U45" i="1"/>
  <c r="D47" i="5" l="1"/>
  <c r="G46" i="5"/>
  <c r="R47" i="1"/>
  <c r="U46" i="1"/>
  <c r="D48" i="5" l="1"/>
  <c r="G47" i="5"/>
  <c r="R48" i="1"/>
  <c r="U47" i="1"/>
  <c r="D49" i="5" l="1"/>
  <c r="G48" i="5"/>
  <c r="U48" i="1"/>
  <c r="R49" i="1"/>
  <c r="D50" i="5" l="1"/>
  <c r="G49" i="5"/>
  <c r="U49" i="1"/>
  <c r="R50" i="1"/>
  <c r="D51" i="5" l="1"/>
  <c r="G50" i="5"/>
  <c r="R51" i="1"/>
  <c r="U50" i="1"/>
  <c r="D52" i="5" l="1"/>
  <c r="G51" i="5"/>
  <c r="U51" i="1"/>
  <c r="R52" i="1"/>
  <c r="D53" i="5" l="1"/>
  <c r="G52" i="5"/>
  <c r="R53" i="1"/>
  <c r="U52" i="1"/>
  <c r="D54" i="5" l="1"/>
  <c r="G53" i="5"/>
  <c r="R54" i="1"/>
  <c r="U53" i="1"/>
  <c r="D55" i="5" l="1"/>
  <c r="G55" i="5" s="1"/>
  <c r="G54" i="5"/>
  <c r="U54" i="1"/>
  <c r="R55" i="1"/>
  <c r="U55" i="1" s="1"/>
</calcChain>
</file>

<file path=xl/sharedStrings.xml><?xml version="1.0" encoding="utf-8"?>
<sst xmlns="http://schemas.openxmlformats.org/spreadsheetml/2006/main" count="53" uniqueCount="11">
  <si>
    <t>Yr</t>
  </si>
  <si>
    <t>Age</t>
  </si>
  <si>
    <t>Annual Premium</t>
  </si>
  <si>
    <t>Cum Outlay</t>
  </si>
  <si>
    <t>Cash Value</t>
  </si>
  <si>
    <t>Death Benefit</t>
  </si>
  <si>
    <t>Outlay to Cash Value %</t>
  </si>
  <si>
    <t>Ruhan 10 Pay</t>
  </si>
  <si>
    <t>Ruhan 20 Pay</t>
  </si>
  <si>
    <t>Ruhan L65</t>
  </si>
  <si>
    <t>Yaneesh - 10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</si>
</sst>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333333"/>
      <name val="Calibri"/>
      <family val="2"/>
      <scheme val="minor"/>
    </font>
    <font>
      <b/>
      <sz val="9"/>
      <color rgb="FF333333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11"/>
      <color theme="4" tint="-0.249977111117893"/>
      <name val="Arial"/>
      <family val="2"/>
    </font>
    <font>
      <sz val="11"/>
      <color theme="5" tint="-0.249977111117893"/>
      <name val="Arial"/>
      <family val="2"/>
    </font>
    <font>
      <sz val="11"/>
      <color theme="9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sz val="11"/>
      <color rgb="FF333333"/>
      <name val="Arial"/>
      <family val="2"/>
    </font>
    <font>
      <b/>
      <sz val="12"/>
      <color theme="1"/>
      <name val="Calibri"/>
      <family val="2"/>
      <scheme val="minor"/>
    </font>
    <font>
      <sz val="9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D9E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2" fillId="2" borderId="0" xfId="0" applyFont="1" applyFill="1" applyAlignment="1">
      <alignment horizontal="right" vertical="center" wrapText="1" indent="1"/>
    </xf>
    <xf numFmtId="3" fontId="2" fillId="2" borderId="0" xfId="0" applyNumberFormat="1" applyFont="1" applyFill="1" applyAlignment="1">
      <alignment horizontal="right" vertical="center" wrapText="1" indent="1"/>
    </xf>
    <xf numFmtId="0" fontId="2" fillId="3" borderId="0" xfId="0" applyFont="1" applyFill="1" applyAlignment="1">
      <alignment horizontal="right" vertical="center" wrapText="1" indent="1"/>
    </xf>
    <xf numFmtId="3" fontId="2" fillId="3" borderId="0" xfId="0" applyNumberFormat="1" applyFont="1" applyFill="1" applyAlignment="1">
      <alignment horizontal="right" vertical="center" wrapText="1" indent="1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0" fillId="0" borderId="0" xfId="2" applyFont="1" applyFill="1" applyBorder="1" applyAlignment="1">
      <alignment horizontal="center" vertical="center" wrapText="1"/>
    </xf>
    <xf numFmtId="9" fontId="1" fillId="0" borderId="6" xfId="2" applyFont="1" applyFill="1" applyBorder="1" applyAlignment="1">
      <alignment horizontal="center" vertical="center" wrapText="1"/>
    </xf>
    <xf numFmtId="1" fontId="9" fillId="8" borderId="0" xfId="0" applyNumberFormat="1" applyFont="1" applyFill="1" applyAlignment="1">
      <alignment horizontal="center" vertical="center" shrinkToFit="1"/>
    </xf>
    <xf numFmtId="164" fontId="11" fillId="0" borderId="0" xfId="1" applyNumberFormat="1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9" fontId="14" fillId="0" borderId="0" xfId="2" applyFont="1" applyFill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 wrapText="1"/>
    </xf>
    <xf numFmtId="9" fontId="14" fillId="0" borderId="6" xfId="2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9" fontId="14" fillId="0" borderId="6" xfId="2" applyFont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 wrapText="1"/>
    </xf>
    <xf numFmtId="1" fontId="9" fillId="8" borderId="8" xfId="0" applyNumberFormat="1" applyFont="1" applyFill="1" applyBorder="1" applyAlignment="1">
      <alignment horizontal="center" vertical="center" shrinkToFit="1"/>
    </xf>
    <xf numFmtId="0" fontId="18" fillId="8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14" fillId="0" borderId="0" xfId="2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0" fillId="2" borderId="0" xfId="0" applyFont="1" applyFill="1" applyAlignment="1">
      <alignment horizontal="right" vertical="center" wrapText="1" indent="1"/>
    </xf>
    <xf numFmtId="3" fontId="20" fillId="2" borderId="0" xfId="0" applyNumberFormat="1" applyFont="1" applyFill="1" applyAlignment="1">
      <alignment horizontal="right" vertical="center" wrapText="1" indent="1"/>
    </xf>
    <xf numFmtId="0" fontId="20" fillId="3" borderId="0" xfId="0" applyFont="1" applyFill="1" applyAlignment="1">
      <alignment horizontal="right" vertical="center" wrapText="1" indent="1"/>
    </xf>
    <xf numFmtId="3" fontId="20" fillId="3" borderId="0" xfId="0" applyNumberFormat="1" applyFont="1" applyFill="1" applyAlignment="1">
      <alignment horizontal="right" vertical="center" wrapText="1" indent="1"/>
    </xf>
    <xf numFmtId="9" fontId="19" fillId="0" borderId="0" xfId="2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65" fontId="17" fillId="0" borderId="9" xfId="0" applyNumberFormat="1" applyFont="1" applyBorder="1" applyAlignment="1">
      <alignment horizontal="center" vertical="center"/>
    </xf>
    <xf numFmtId="9" fontId="19" fillId="0" borderId="6" xfId="2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1" fillId="0" borderId="0" xfId="2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/>
    </xf>
    <xf numFmtId="1" fontId="9" fillId="8" borderId="0" xfId="0" applyNumberFormat="1" applyFont="1" applyFill="1" applyBorder="1" applyAlignment="1">
      <alignment horizontal="center" vertical="center" shrinkToFit="1"/>
    </xf>
    <xf numFmtId="3" fontId="10" fillId="0" borderId="0" xfId="0" applyNumberFormat="1" applyFont="1" applyFill="1" applyBorder="1" applyAlignment="1">
      <alignment horizontal="center" vertical="center" wrapText="1"/>
    </xf>
    <xf numFmtId="3" fontId="12" fillId="0" borderId="0" xfId="0" applyNumberFormat="1" applyFont="1" applyFill="1" applyBorder="1" applyAlignment="1">
      <alignment horizontal="center" vertical="center" wrapText="1"/>
    </xf>
    <xf numFmtId="3" fontId="13" fillId="0" borderId="0" xfId="0" applyNumberFormat="1" applyFont="1" applyFill="1" applyBorder="1" applyAlignment="1">
      <alignment horizontal="center" vertical="center" wrapText="1"/>
    </xf>
    <xf numFmtId="3" fontId="11" fillId="0" borderId="0" xfId="0" applyNumberFormat="1" applyFont="1" applyFill="1" applyBorder="1" applyAlignment="1">
      <alignment horizontal="center" vertical="center" wrapText="1"/>
    </xf>
    <xf numFmtId="0" fontId="14" fillId="8" borderId="0" xfId="0" applyFont="1" applyFill="1" applyBorder="1" applyAlignment="1">
      <alignment horizontal="center" vertical="center"/>
    </xf>
    <xf numFmtId="165" fontId="15" fillId="0" borderId="0" xfId="0" applyNumberFormat="1" applyFont="1" applyFill="1" applyBorder="1" applyAlignment="1">
      <alignment horizontal="center" vertical="center"/>
    </xf>
    <xf numFmtId="165" fontId="16" fillId="0" borderId="0" xfId="0" applyNumberFormat="1" applyFont="1" applyFill="1" applyBorder="1" applyAlignment="1">
      <alignment horizontal="center" vertical="center"/>
    </xf>
    <xf numFmtId="165" fontId="17" fillId="0" borderId="0" xfId="0" applyNumberFormat="1" applyFont="1" applyFill="1" applyBorder="1" applyAlignment="1">
      <alignment horizontal="center" vertical="center"/>
    </xf>
    <xf numFmtId="0" fontId="18" fillId="8" borderId="0" xfId="0" applyFont="1" applyFill="1" applyBorder="1" applyAlignment="1">
      <alignment horizontal="center" vertical="center" wrapText="1"/>
    </xf>
    <xf numFmtId="3" fontId="10" fillId="0" borderId="0" xfId="0" applyNumberFormat="1" applyFont="1" applyBorder="1" applyAlignment="1">
      <alignment horizontal="center"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3" fontId="12" fillId="0" borderId="0" xfId="0" applyNumberFormat="1" applyFont="1" applyBorder="1" applyAlignment="1">
      <alignment horizontal="center" vertical="center" wrapText="1"/>
    </xf>
    <xf numFmtId="3" fontId="13" fillId="0" borderId="0" xfId="0" applyNumberFormat="1" applyFont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165" fontId="15" fillId="0" borderId="0" xfId="0" applyNumberFormat="1" applyFont="1" applyBorder="1" applyAlignment="1">
      <alignment horizontal="center" vertical="center"/>
    </xf>
    <xf numFmtId="165" fontId="16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9" fontId="14" fillId="0" borderId="0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A3AEF-CE30-485C-881A-FA95E88AB222}">
  <dimension ref="A1:U55"/>
  <sheetViews>
    <sheetView tabSelected="1" zoomScale="85" zoomScaleNormal="85" workbookViewId="0">
      <selection activeCell="L15" sqref="L15"/>
    </sheetView>
  </sheetViews>
  <sheetFormatPr defaultColWidth="9.140625" defaultRowHeight="15.75" x14ac:dyDescent="0.25"/>
  <cols>
    <col min="1" max="1" width="3.5703125" style="84" customWidth="1"/>
    <col min="2" max="2" width="4.7109375" style="84" customWidth="1"/>
    <col min="3" max="3" width="11.28515625" style="85" customWidth="1"/>
    <col min="4" max="4" width="12.7109375" style="85" customWidth="1"/>
    <col min="5" max="5" width="11.7109375" style="86" customWidth="1"/>
    <col min="6" max="6" width="11.7109375" style="87" customWidth="1"/>
    <col min="7" max="7" width="8.5703125" style="21" customWidth="1"/>
    <col min="8" max="8" width="3.5703125" style="84" bestFit="1" customWidth="1"/>
    <col min="9" max="9" width="4.7109375" style="84" customWidth="1"/>
    <col min="10" max="10" width="11.140625" style="85" customWidth="1"/>
    <col min="11" max="11" width="9.85546875" style="85" customWidth="1"/>
    <col min="12" max="12" width="11.7109375" style="86" bestFit="1" customWidth="1"/>
    <col min="13" max="13" width="11.7109375" style="87" bestFit="1" customWidth="1"/>
    <col min="14" max="14" width="9" style="21" bestFit="1" customWidth="1"/>
    <col min="15" max="15" width="3.5703125" style="84" customWidth="1"/>
    <col min="16" max="16" width="4.7109375" style="84" bestFit="1" customWidth="1"/>
    <col min="17" max="17" width="11" style="84" customWidth="1"/>
    <col min="18" max="18" width="11.28515625" style="84" bestFit="1" customWidth="1"/>
    <col min="19" max="20" width="11" style="84" bestFit="1" customWidth="1"/>
    <col min="21" max="21" width="10.42578125" style="84" bestFit="1" customWidth="1"/>
    <col min="22" max="16384" width="9.140625" style="7"/>
  </cols>
  <sheetData>
    <row r="1" spans="1:21" ht="41.25" customHeight="1" x14ac:dyDescent="0.25">
      <c r="A1" s="55" t="s">
        <v>8</v>
      </c>
      <c r="B1" s="55"/>
      <c r="C1" s="55"/>
      <c r="D1" s="55"/>
      <c r="E1" s="55"/>
      <c r="F1" s="55"/>
      <c r="G1" s="55"/>
      <c r="H1" s="56" t="s">
        <v>7</v>
      </c>
      <c r="I1" s="56"/>
      <c r="J1" s="56"/>
      <c r="K1" s="56"/>
      <c r="L1" s="56"/>
      <c r="M1" s="56"/>
      <c r="N1" s="56"/>
      <c r="O1" s="57" t="s">
        <v>9</v>
      </c>
      <c r="P1" s="57"/>
      <c r="Q1" s="57"/>
      <c r="R1" s="57"/>
      <c r="S1" s="57"/>
      <c r="T1" s="57"/>
      <c r="U1" s="57"/>
    </row>
    <row r="2" spans="1:21" ht="45" x14ac:dyDescent="0.25">
      <c r="A2" s="58" t="s">
        <v>0</v>
      </c>
      <c r="B2" s="58" t="s">
        <v>1</v>
      </c>
      <c r="C2" s="59" t="s">
        <v>2</v>
      </c>
      <c r="D2" s="59" t="s">
        <v>3</v>
      </c>
      <c r="E2" s="60" t="s">
        <v>4</v>
      </c>
      <c r="F2" s="61" t="s">
        <v>5</v>
      </c>
      <c r="G2" s="13" t="s">
        <v>6</v>
      </c>
      <c r="H2" s="58" t="s">
        <v>0</v>
      </c>
      <c r="I2" s="58" t="s">
        <v>1</v>
      </c>
      <c r="J2" s="59" t="s">
        <v>2</v>
      </c>
      <c r="K2" s="59" t="s">
        <v>3</v>
      </c>
      <c r="L2" s="60" t="s">
        <v>4</v>
      </c>
      <c r="M2" s="61" t="s">
        <v>5</v>
      </c>
      <c r="N2" s="62" t="s">
        <v>6</v>
      </c>
      <c r="O2" s="58" t="s">
        <v>0</v>
      </c>
      <c r="P2" s="58" t="s">
        <v>1</v>
      </c>
      <c r="Q2" s="59" t="s">
        <v>2</v>
      </c>
      <c r="R2" s="59" t="s">
        <v>3</v>
      </c>
      <c r="S2" s="60" t="s">
        <v>4</v>
      </c>
      <c r="T2" s="61" t="s">
        <v>5</v>
      </c>
      <c r="U2" s="62" t="s">
        <v>6</v>
      </c>
    </row>
    <row r="3" spans="1:21" x14ac:dyDescent="0.25">
      <c r="A3" s="63">
        <v>1</v>
      </c>
      <c r="B3" s="64">
        <v>5</v>
      </c>
      <c r="C3" s="65">
        <f>Sheet2!C1</f>
        <v>2500</v>
      </c>
      <c r="D3" s="16">
        <f>C3</f>
        <v>2500</v>
      </c>
      <c r="E3" s="66">
        <f>Sheet2!G1</f>
        <v>294</v>
      </c>
      <c r="F3" s="67">
        <f>Sheet2!H1</f>
        <v>220095</v>
      </c>
      <c r="G3" s="42">
        <f>E3/D3</f>
        <v>0.1176</v>
      </c>
      <c r="H3" s="63">
        <v>1</v>
      </c>
      <c r="I3" s="64">
        <f>B3</f>
        <v>5</v>
      </c>
      <c r="J3" s="65">
        <f>Sheet2!X1</f>
        <v>3280</v>
      </c>
      <c r="K3" s="68">
        <f>J3</f>
        <v>3280</v>
      </c>
      <c r="L3" s="66">
        <f>Sheet2!AA1</f>
        <v>1183</v>
      </c>
      <c r="M3" s="67">
        <f>Sheet2!AB1</f>
        <v>100402</v>
      </c>
      <c r="N3" s="42">
        <f>L3/K3</f>
        <v>0.36067073170731706</v>
      </c>
      <c r="O3" s="69">
        <v>1</v>
      </c>
      <c r="P3" s="64">
        <f>I3</f>
        <v>5</v>
      </c>
      <c r="Q3" s="70">
        <f>Sheet2!AG1</f>
        <v>2500</v>
      </c>
      <c r="R3" s="68">
        <f>Q3</f>
        <v>2500</v>
      </c>
      <c r="S3" s="71">
        <f>Sheet2!AJ1</f>
        <v>1310</v>
      </c>
      <c r="T3" s="72">
        <f>Sheet2!AK1</f>
        <v>180186</v>
      </c>
      <c r="U3" s="42">
        <f>S3/R3</f>
        <v>0.52400000000000002</v>
      </c>
    </row>
    <row r="4" spans="1:21" x14ac:dyDescent="0.25">
      <c r="A4" s="73">
        <v>2</v>
      </c>
      <c r="B4" s="64">
        <f>B3+1</f>
        <v>6</v>
      </c>
      <c r="C4" s="65">
        <f>Sheet2!C2</f>
        <v>2500</v>
      </c>
      <c r="D4" s="16">
        <f>SUM($C$3:C4)</f>
        <v>5000</v>
      </c>
      <c r="E4" s="66">
        <f>Sheet2!G2</f>
        <v>759</v>
      </c>
      <c r="F4" s="67">
        <f>Sheet2!H2</f>
        <v>222407</v>
      </c>
      <c r="G4" s="21">
        <f t="shared" ref="G4:G38" si="0">E4/D4</f>
        <v>0.15179999999999999</v>
      </c>
      <c r="H4" s="73">
        <v>2</v>
      </c>
      <c r="I4" s="64">
        <f>I3+1</f>
        <v>6</v>
      </c>
      <c r="J4" s="65">
        <f>Sheet2!X2</f>
        <v>3280</v>
      </c>
      <c r="K4" s="68">
        <f>K3+J4</f>
        <v>6560</v>
      </c>
      <c r="L4" s="66">
        <f>Sheet2!AA2</f>
        <v>3263</v>
      </c>
      <c r="M4" s="67">
        <f>Sheet2!AB2</f>
        <v>101122</v>
      </c>
      <c r="N4" s="21">
        <f t="shared" ref="N4:N39" si="1">L4/K4</f>
        <v>0.49740853658536588</v>
      </c>
      <c r="O4" s="69">
        <v>2</v>
      </c>
      <c r="P4" s="64">
        <f>P3+1</f>
        <v>6</v>
      </c>
      <c r="Q4" s="70">
        <f>Sheet2!AG2</f>
        <v>2500</v>
      </c>
      <c r="R4" s="68">
        <f>R3+Q4</f>
        <v>5000</v>
      </c>
      <c r="S4" s="71">
        <f>Sheet2!AJ2</f>
        <v>2852</v>
      </c>
      <c r="T4" s="72">
        <f>Sheet2!AK2</f>
        <v>190771</v>
      </c>
      <c r="U4" s="21">
        <f t="shared" ref="U4:U35" si="2">S4/R4</f>
        <v>0.57040000000000002</v>
      </c>
    </row>
    <row r="5" spans="1:21" x14ac:dyDescent="0.25">
      <c r="A5" s="73">
        <v>3</v>
      </c>
      <c r="B5" s="64">
        <f t="shared" ref="B5:B55" si="3">B4+1</f>
        <v>7</v>
      </c>
      <c r="C5" s="65">
        <f>Sheet2!C3</f>
        <v>2500</v>
      </c>
      <c r="D5" s="16">
        <f>SUM($C$3:C5)</f>
        <v>7500</v>
      </c>
      <c r="E5" s="66">
        <f>Sheet2!G3</f>
        <v>3083</v>
      </c>
      <c r="F5" s="67">
        <f>Sheet2!H3</f>
        <v>224855</v>
      </c>
      <c r="G5" s="21">
        <f t="shared" si="0"/>
        <v>0.41106666666666669</v>
      </c>
      <c r="H5" s="73">
        <v>3</v>
      </c>
      <c r="I5" s="64">
        <f t="shared" ref="I5:I55" si="4">I4+1</f>
        <v>7</v>
      </c>
      <c r="J5" s="65">
        <f>Sheet2!X3</f>
        <v>3280</v>
      </c>
      <c r="K5" s="68">
        <f t="shared" ref="K5:K39" si="5">K4+J5</f>
        <v>9840</v>
      </c>
      <c r="L5" s="66">
        <f>Sheet2!AA3</f>
        <v>6496</v>
      </c>
      <c r="M5" s="67">
        <f>Sheet2!AB3</f>
        <v>102170</v>
      </c>
      <c r="N5" s="21">
        <f t="shared" si="1"/>
        <v>0.66016260162601625</v>
      </c>
      <c r="O5" s="69">
        <v>3</v>
      </c>
      <c r="P5" s="64">
        <f t="shared" ref="P5:P40" si="6">P4+1</f>
        <v>7</v>
      </c>
      <c r="Q5" s="70">
        <f>Sheet2!AG3</f>
        <v>2500</v>
      </c>
      <c r="R5" s="68">
        <f t="shared" ref="R5:R35" si="7">R4+Q5</f>
        <v>7500</v>
      </c>
      <c r="S5" s="71">
        <f>Sheet2!AJ3</f>
        <v>5119</v>
      </c>
      <c r="T5" s="72">
        <f>Sheet2!AK3</f>
        <v>201366</v>
      </c>
      <c r="U5" s="21">
        <f t="shared" si="2"/>
        <v>0.68253333333333333</v>
      </c>
    </row>
    <row r="6" spans="1:21" x14ac:dyDescent="0.25">
      <c r="A6" s="73">
        <v>4</v>
      </c>
      <c r="B6" s="64">
        <f t="shared" si="3"/>
        <v>8</v>
      </c>
      <c r="C6" s="65">
        <f>Sheet2!C4</f>
        <v>2500</v>
      </c>
      <c r="D6" s="16">
        <f>SUM($C$3:C6)</f>
        <v>10000</v>
      </c>
      <c r="E6" s="66">
        <f>Sheet2!G4</f>
        <v>5499</v>
      </c>
      <c r="F6" s="67">
        <f>Sheet2!H4</f>
        <v>227386</v>
      </c>
      <c r="G6" s="21">
        <f t="shared" si="0"/>
        <v>0.54990000000000006</v>
      </c>
      <c r="H6" s="73">
        <v>4</v>
      </c>
      <c r="I6" s="64">
        <f t="shared" si="4"/>
        <v>8</v>
      </c>
      <c r="J6" s="65">
        <f>Sheet2!X4</f>
        <v>3280</v>
      </c>
      <c r="K6" s="68">
        <f t="shared" si="5"/>
        <v>13120</v>
      </c>
      <c r="L6" s="66">
        <f>Sheet2!AA4</f>
        <v>9883</v>
      </c>
      <c r="M6" s="67">
        <f>Sheet2!AB4</f>
        <v>103554</v>
      </c>
      <c r="N6" s="21">
        <f t="shared" si="1"/>
        <v>0.75327743902439026</v>
      </c>
      <c r="O6" s="69">
        <v>4</v>
      </c>
      <c r="P6" s="64">
        <f t="shared" si="6"/>
        <v>8</v>
      </c>
      <c r="Q6" s="70">
        <f>Sheet2!AG4</f>
        <v>2500</v>
      </c>
      <c r="R6" s="68">
        <f t="shared" si="7"/>
        <v>10000</v>
      </c>
      <c r="S6" s="71">
        <f>Sheet2!AJ4</f>
        <v>7491</v>
      </c>
      <c r="T6" s="72">
        <f>Sheet2!AK4</f>
        <v>211958</v>
      </c>
      <c r="U6" s="21">
        <f t="shared" si="2"/>
        <v>0.74909999999999999</v>
      </c>
    </row>
    <row r="7" spans="1:21" x14ac:dyDescent="0.25">
      <c r="A7" s="73">
        <v>5</v>
      </c>
      <c r="B7" s="64">
        <f t="shared" si="3"/>
        <v>9</v>
      </c>
      <c r="C7" s="65">
        <f>Sheet2!C5</f>
        <v>2500</v>
      </c>
      <c r="D7" s="16">
        <f>SUM($C$3:C7)</f>
        <v>12500</v>
      </c>
      <c r="E7" s="66">
        <f>Sheet2!G5</f>
        <v>8012</v>
      </c>
      <c r="F7" s="67">
        <f>Sheet2!H5</f>
        <v>230015</v>
      </c>
      <c r="G7" s="21">
        <f t="shared" si="0"/>
        <v>0.64095999999999997</v>
      </c>
      <c r="H7" s="73">
        <v>5</v>
      </c>
      <c r="I7" s="64">
        <f t="shared" si="4"/>
        <v>9</v>
      </c>
      <c r="J7" s="65">
        <f>Sheet2!X5</f>
        <v>3280</v>
      </c>
      <c r="K7" s="68">
        <f t="shared" si="5"/>
        <v>16400</v>
      </c>
      <c r="L7" s="66">
        <f>Sheet2!AA5</f>
        <v>13433</v>
      </c>
      <c r="M7" s="67">
        <f>Sheet2!AB5</f>
        <v>105275</v>
      </c>
      <c r="N7" s="21">
        <f t="shared" si="1"/>
        <v>0.81908536585365854</v>
      </c>
      <c r="O7" s="69">
        <v>5</v>
      </c>
      <c r="P7" s="64">
        <f t="shared" si="6"/>
        <v>9</v>
      </c>
      <c r="Q7" s="70">
        <f>Sheet2!AG5</f>
        <v>2500</v>
      </c>
      <c r="R7" s="68">
        <f t="shared" si="7"/>
        <v>12500</v>
      </c>
      <c r="S7" s="71">
        <f>Sheet2!AJ5</f>
        <v>9978</v>
      </c>
      <c r="T7" s="72">
        <f>Sheet2!AK5</f>
        <v>222540</v>
      </c>
      <c r="U7" s="21">
        <f t="shared" si="2"/>
        <v>0.79823999999999995</v>
      </c>
    </row>
    <row r="8" spans="1:21" x14ac:dyDescent="0.25">
      <c r="A8" s="73">
        <v>6</v>
      </c>
      <c r="B8" s="64">
        <f t="shared" si="3"/>
        <v>10</v>
      </c>
      <c r="C8" s="65">
        <f>Sheet2!C6</f>
        <v>2500</v>
      </c>
      <c r="D8" s="16">
        <f>SUM($C$3:C8)</f>
        <v>15000</v>
      </c>
      <c r="E8" s="66">
        <f>Sheet2!G6</f>
        <v>10628</v>
      </c>
      <c r="F8" s="67">
        <f>Sheet2!H6</f>
        <v>232768</v>
      </c>
      <c r="G8" s="21">
        <f t="shared" si="0"/>
        <v>0.70853333333333335</v>
      </c>
      <c r="H8" s="73">
        <v>6</v>
      </c>
      <c r="I8" s="64">
        <f t="shared" si="4"/>
        <v>10</v>
      </c>
      <c r="J8" s="65">
        <f>Sheet2!X6</f>
        <v>3280</v>
      </c>
      <c r="K8" s="68">
        <f t="shared" si="5"/>
        <v>19680</v>
      </c>
      <c r="L8" s="66">
        <f>Sheet2!AA6</f>
        <v>17181</v>
      </c>
      <c r="M8" s="67">
        <f>Sheet2!AB6</f>
        <v>107444</v>
      </c>
      <c r="N8" s="21">
        <f t="shared" si="1"/>
        <v>0.87301829268292686</v>
      </c>
      <c r="O8" s="69">
        <v>6</v>
      </c>
      <c r="P8" s="64">
        <f t="shared" si="6"/>
        <v>10</v>
      </c>
      <c r="Q8" s="70">
        <f>Sheet2!AG6</f>
        <v>2500</v>
      </c>
      <c r="R8" s="68">
        <f t="shared" si="7"/>
        <v>15000</v>
      </c>
      <c r="S8" s="71">
        <f>Sheet2!AJ6</f>
        <v>12586</v>
      </c>
      <c r="T8" s="72">
        <f>Sheet2!AK6</f>
        <v>233160</v>
      </c>
      <c r="U8" s="21">
        <f t="shared" si="2"/>
        <v>0.83906666666666663</v>
      </c>
    </row>
    <row r="9" spans="1:21" x14ac:dyDescent="0.25">
      <c r="A9" s="73">
        <v>7</v>
      </c>
      <c r="B9" s="64">
        <f t="shared" si="3"/>
        <v>11</v>
      </c>
      <c r="C9" s="65">
        <f>Sheet2!C7</f>
        <v>2500</v>
      </c>
      <c r="D9" s="16">
        <f>SUM($C$3:C9)</f>
        <v>17500</v>
      </c>
      <c r="E9" s="66">
        <f>Sheet2!G7</f>
        <v>13398</v>
      </c>
      <c r="F9" s="67">
        <f>Sheet2!H7</f>
        <v>235954</v>
      </c>
      <c r="G9" s="21">
        <f t="shared" si="0"/>
        <v>0.76559999999999995</v>
      </c>
      <c r="H9" s="73">
        <v>7</v>
      </c>
      <c r="I9" s="64">
        <f t="shared" si="4"/>
        <v>11</v>
      </c>
      <c r="J9" s="65">
        <f>Sheet2!X7</f>
        <v>3280</v>
      </c>
      <c r="K9" s="68">
        <f t="shared" si="5"/>
        <v>22960</v>
      </c>
      <c r="L9" s="66">
        <f>Sheet2!AA7</f>
        <v>21136</v>
      </c>
      <c r="M9" s="67">
        <f>Sheet2!AB7</f>
        <v>110068</v>
      </c>
      <c r="N9" s="21">
        <f t="shared" si="1"/>
        <v>0.92055749128919862</v>
      </c>
      <c r="O9" s="69">
        <v>7</v>
      </c>
      <c r="P9" s="64">
        <f t="shared" si="6"/>
        <v>11</v>
      </c>
      <c r="Q9" s="70">
        <f>Sheet2!AG7</f>
        <v>2500</v>
      </c>
      <c r="R9" s="68">
        <f t="shared" si="7"/>
        <v>17500</v>
      </c>
      <c r="S9" s="71">
        <f>Sheet2!AJ7</f>
        <v>15323</v>
      </c>
      <c r="T9" s="72">
        <f>Sheet2!AK7</f>
        <v>243824</v>
      </c>
      <c r="U9" s="21">
        <f t="shared" si="2"/>
        <v>0.87560000000000004</v>
      </c>
    </row>
    <row r="10" spans="1:21" x14ac:dyDescent="0.25">
      <c r="A10" s="73">
        <v>8</v>
      </c>
      <c r="B10" s="64">
        <f t="shared" si="3"/>
        <v>12</v>
      </c>
      <c r="C10" s="65">
        <f>Sheet2!C8</f>
        <v>2500</v>
      </c>
      <c r="D10" s="16">
        <f>SUM($C$3:C10)</f>
        <v>20000</v>
      </c>
      <c r="E10" s="66">
        <f>Sheet2!G8</f>
        <v>16327</v>
      </c>
      <c r="F10" s="67">
        <f>Sheet2!H8</f>
        <v>239576</v>
      </c>
      <c r="G10" s="21">
        <f t="shared" si="0"/>
        <v>0.81635000000000002</v>
      </c>
      <c r="H10" s="73">
        <v>8</v>
      </c>
      <c r="I10" s="64">
        <f t="shared" si="4"/>
        <v>12</v>
      </c>
      <c r="J10" s="65">
        <f>Sheet2!X8</f>
        <v>3280</v>
      </c>
      <c r="K10" s="68">
        <f t="shared" si="5"/>
        <v>26240</v>
      </c>
      <c r="L10" s="66">
        <f>Sheet2!AA8</f>
        <v>25314</v>
      </c>
      <c r="M10" s="67">
        <f>Sheet2!AB8</f>
        <v>113163</v>
      </c>
      <c r="N10" s="21">
        <f t="shared" si="1"/>
        <v>0.96471036585365855</v>
      </c>
      <c r="O10" s="69">
        <v>8</v>
      </c>
      <c r="P10" s="64">
        <f t="shared" si="6"/>
        <v>12</v>
      </c>
      <c r="Q10" s="70">
        <f>Sheet2!AG8</f>
        <v>2500</v>
      </c>
      <c r="R10" s="68">
        <f t="shared" si="7"/>
        <v>20000</v>
      </c>
      <c r="S10" s="71">
        <f>Sheet2!AJ8</f>
        <v>18200</v>
      </c>
      <c r="T10" s="72">
        <f>Sheet2!AK8</f>
        <v>254575</v>
      </c>
      <c r="U10" s="21">
        <f t="shared" si="2"/>
        <v>0.91</v>
      </c>
    </row>
    <row r="11" spans="1:21" x14ac:dyDescent="0.25">
      <c r="A11" s="73">
        <v>9</v>
      </c>
      <c r="B11" s="64">
        <f t="shared" si="3"/>
        <v>13</v>
      </c>
      <c r="C11" s="65">
        <f>Sheet2!C9</f>
        <v>2500</v>
      </c>
      <c r="D11" s="16">
        <f>SUM($C$3:C11)</f>
        <v>22500</v>
      </c>
      <c r="E11" s="66">
        <f>Sheet2!G9</f>
        <v>19423</v>
      </c>
      <c r="F11" s="67">
        <f>Sheet2!H9</f>
        <v>243621</v>
      </c>
      <c r="G11" s="21">
        <f t="shared" si="0"/>
        <v>0.86324444444444448</v>
      </c>
      <c r="H11" s="73">
        <v>9</v>
      </c>
      <c r="I11" s="64">
        <f t="shared" si="4"/>
        <v>13</v>
      </c>
      <c r="J11" s="65">
        <f>Sheet2!X9</f>
        <v>3280</v>
      </c>
      <c r="K11" s="68">
        <f t="shared" si="5"/>
        <v>29520</v>
      </c>
      <c r="L11" s="66">
        <f>Sheet2!AA9</f>
        <v>29721</v>
      </c>
      <c r="M11" s="67">
        <f>Sheet2!AB9</f>
        <v>116727</v>
      </c>
      <c r="N11" s="21">
        <f t="shared" si="1"/>
        <v>1.0068089430894309</v>
      </c>
      <c r="O11" s="69">
        <v>9</v>
      </c>
      <c r="P11" s="64">
        <f t="shared" si="6"/>
        <v>13</v>
      </c>
      <c r="Q11" s="70">
        <f>Sheet2!AG9</f>
        <v>2500</v>
      </c>
      <c r="R11" s="68">
        <f t="shared" si="7"/>
        <v>22500</v>
      </c>
      <c r="S11" s="71">
        <f>Sheet2!AJ9</f>
        <v>21210</v>
      </c>
      <c r="T11" s="72">
        <f>Sheet2!AK9</f>
        <v>265365</v>
      </c>
      <c r="U11" s="21">
        <f t="shared" si="2"/>
        <v>0.94266666666666665</v>
      </c>
    </row>
    <row r="12" spans="1:21" x14ac:dyDescent="0.25">
      <c r="A12" s="73">
        <v>10</v>
      </c>
      <c r="B12" s="64">
        <f t="shared" si="3"/>
        <v>14</v>
      </c>
      <c r="C12" s="65">
        <f>Sheet2!C10</f>
        <v>2500</v>
      </c>
      <c r="D12" s="16">
        <f>SUM($C$3:C12)</f>
        <v>25000</v>
      </c>
      <c r="E12" s="66">
        <f>Sheet2!G10</f>
        <v>22691</v>
      </c>
      <c r="F12" s="67">
        <f>Sheet2!H10</f>
        <v>248101</v>
      </c>
      <c r="G12" s="21">
        <f t="shared" si="0"/>
        <v>0.90764</v>
      </c>
      <c r="H12" s="73">
        <v>10</v>
      </c>
      <c r="I12" s="64">
        <f t="shared" si="4"/>
        <v>14</v>
      </c>
      <c r="J12" s="65">
        <f>Sheet2!X10</f>
        <v>3280</v>
      </c>
      <c r="K12" s="68">
        <f t="shared" si="5"/>
        <v>32800</v>
      </c>
      <c r="L12" s="66">
        <f>Sheet2!AA10</f>
        <v>34370</v>
      </c>
      <c r="M12" s="67">
        <f>Sheet2!AB10</f>
        <v>120776</v>
      </c>
      <c r="N12" s="21">
        <f t="shared" si="1"/>
        <v>1.0478658536585366</v>
      </c>
      <c r="O12" s="69">
        <v>10</v>
      </c>
      <c r="P12" s="64">
        <f t="shared" si="6"/>
        <v>14</v>
      </c>
      <c r="Q12" s="70">
        <f>Sheet2!AG10</f>
        <v>2500</v>
      </c>
      <c r="R12" s="68">
        <f t="shared" si="7"/>
        <v>25000</v>
      </c>
      <c r="S12" s="71">
        <f>Sheet2!AJ10</f>
        <v>24366</v>
      </c>
      <c r="T12" s="72">
        <f>Sheet2!AK10</f>
        <v>276256</v>
      </c>
      <c r="U12" s="21">
        <f t="shared" si="2"/>
        <v>0.97463999999999995</v>
      </c>
    </row>
    <row r="13" spans="1:21" x14ac:dyDescent="0.25">
      <c r="A13" s="73">
        <v>11</v>
      </c>
      <c r="B13" s="64">
        <f t="shared" si="3"/>
        <v>15</v>
      </c>
      <c r="C13" s="65">
        <f>Sheet2!C11</f>
        <v>2500</v>
      </c>
      <c r="D13" s="16">
        <f>SUM($C$3:C13)</f>
        <v>27500</v>
      </c>
      <c r="E13" s="66">
        <f>Sheet2!G11</f>
        <v>26079</v>
      </c>
      <c r="F13" s="67">
        <f>Sheet2!H11</f>
        <v>252706</v>
      </c>
      <c r="G13" s="21">
        <f t="shared" si="0"/>
        <v>0.94832727272727269</v>
      </c>
      <c r="H13" s="73">
        <v>11</v>
      </c>
      <c r="I13" s="64">
        <f t="shared" si="4"/>
        <v>15</v>
      </c>
      <c r="J13" s="65"/>
      <c r="K13" s="68">
        <f t="shared" si="5"/>
        <v>32800</v>
      </c>
      <c r="L13" s="66">
        <f>Sheet2!AA11</f>
        <v>36217</v>
      </c>
      <c r="M13" s="67">
        <f>Sheet2!AB11</f>
        <v>124842</v>
      </c>
      <c r="N13" s="21">
        <f t="shared" si="1"/>
        <v>1.1041768292682927</v>
      </c>
      <c r="O13" s="69">
        <v>11</v>
      </c>
      <c r="P13" s="64">
        <f t="shared" si="6"/>
        <v>15</v>
      </c>
      <c r="Q13" s="70">
        <f>Sheet2!AG11</f>
        <v>2500</v>
      </c>
      <c r="R13" s="68">
        <f t="shared" si="7"/>
        <v>27500</v>
      </c>
      <c r="S13" s="71">
        <f>Sheet2!AJ11</f>
        <v>27683</v>
      </c>
      <c r="T13" s="72">
        <f>Sheet2!AK11</f>
        <v>287368</v>
      </c>
      <c r="U13" s="21">
        <f t="shared" si="2"/>
        <v>1.0066545454545455</v>
      </c>
    </row>
    <row r="14" spans="1:21" x14ac:dyDescent="0.25">
      <c r="A14" s="73">
        <v>12</v>
      </c>
      <c r="B14" s="64">
        <f t="shared" si="3"/>
        <v>16</v>
      </c>
      <c r="C14" s="65">
        <f>Sheet2!C12</f>
        <v>2500</v>
      </c>
      <c r="D14" s="16">
        <f>SUM($C$3:C14)</f>
        <v>30000</v>
      </c>
      <c r="E14" s="66">
        <f>Sheet2!G12</f>
        <v>29592</v>
      </c>
      <c r="F14" s="67">
        <f>Sheet2!H12</f>
        <v>257469</v>
      </c>
      <c r="G14" s="21">
        <f t="shared" si="0"/>
        <v>0.98640000000000005</v>
      </c>
      <c r="H14" s="73">
        <v>12</v>
      </c>
      <c r="I14" s="64">
        <f t="shared" si="4"/>
        <v>16</v>
      </c>
      <c r="J14" s="65"/>
      <c r="K14" s="68">
        <f t="shared" si="5"/>
        <v>32800</v>
      </c>
      <c r="L14" s="66">
        <f>Sheet2!AA12</f>
        <v>38158</v>
      </c>
      <c r="M14" s="67">
        <f>Sheet2!AB12</f>
        <v>129060</v>
      </c>
      <c r="N14" s="21">
        <f t="shared" si="1"/>
        <v>1.1633536585365853</v>
      </c>
      <c r="O14" s="69">
        <v>12</v>
      </c>
      <c r="P14" s="64">
        <f t="shared" si="6"/>
        <v>16</v>
      </c>
      <c r="Q14" s="70">
        <f>Sheet2!AG12</f>
        <v>2500</v>
      </c>
      <c r="R14" s="68">
        <f t="shared" si="7"/>
        <v>30000</v>
      </c>
      <c r="S14" s="71">
        <f>Sheet2!AJ12</f>
        <v>31156</v>
      </c>
      <c r="T14" s="72">
        <f>Sheet2!AK12</f>
        <v>298721</v>
      </c>
      <c r="U14" s="21">
        <f t="shared" si="2"/>
        <v>1.0385333333333333</v>
      </c>
    </row>
    <row r="15" spans="1:21" x14ac:dyDescent="0.25">
      <c r="A15" s="73">
        <v>13</v>
      </c>
      <c r="B15" s="64">
        <f t="shared" si="3"/>
        <v>17</v>
      </c>
      <c r="C15" s="65">
        <f>Sheet2!C13</f>
        <v>2500</v>
      </c>
      <c r="D15" s="16">
        <f>SUM($C$3:C15)</f>
        <v>32500</v>
      </c>
      <c r="E15" s="66">
        <f>Sheet2!G13</f>
        <v>33228</v>
      </c>
      <c r="F15" s="67">
        <f>Sheet2!H13</f>
        <v>262403</v>
      </c>
      <c r="G15" s="21">
        <f t="shared" si="0"/>
        <v>1.0224</v>
      </c>
      <c r="H15" s="73">
        <v>13</v>
      </c>
      <c r="I15" s="64">
        <f t="shared" si="4"/>
        <v>17</v>
      </c>
      <c r="J15" s="65"/>
      <c r="K15" s="68">
        <f t="shared" si="5"/>
        <v>32800</v>
      </c>
      <c r="L15" s="66">
        <f>Sheet2!AA13</f>
        <v>40193</v>
      </c>
      <c r="M15" s="67">
        <f>Sheet2!AB13</f>
        <v>133440</v>
      </c>
      <c r="N15" s="21">
        <f t="shared" si="1"/>
        <v>1.2253963414634146</v>
      </c>
      <c r="O15" s="69">
        <v>13</v>
      </c>
      <c r="P15" s="64">
        <f t="shared" si="6"/>
        <v>17</v>
      </c>
      <c r="Q15" s="70">
        <f>Sheet2!AG13</f>
        <v>2500</v>
      </c>
      <c r="R15" s="68">
        <f t="shared" si="7"/>
        <v>32500</v>
      </c>
      <c r="S15" s="71">
        <f>Sheet2!AJ13</f>
        <v>34794</v>
      </c>
      <c r="T15" s="72">
        <f>Sheet2!AK13</f>
        <v>310350</v>
      </c>
      <c r="U15" s="21">
        <f t="shared" si="2"/>
        <v>1.0705846153846155</v>
      </c>
    </row>
    <row r="16" spans="1:21" x14ac:dyDescent="0.25">
      <c r="A16" s="73">
        <v>14</v>
      </c>
      <c r="B16" s="64">
        <f t="shared" si="3"/>
        <v>18</v>
      </c>
      <c r="C16" s="65">
        <f>Sheet2!C14</f>
        <v>2500</v>
      </c>
      <c r="D16" s="16">
        <f>SUM($C$3:C16)</f>
        <v>35000</v>
      </c>
      <c r="E16" s="66">
        <f>Sheet2!G14</f>
        <v>36984</v>
      </c>
      <c r="F16" s="67">
        <f>Sheet2!H14</f>
        <v>267526</v>
      </c>
      <c r="G16" s="21">
        <f t="shared" si="0"/>
        <v>1.0566857142857142</v>
      </c>
      <c r="H16" s="73">
        <v>14</v>
      </c>
      <c r="I16" s="64">
        <f t="shared" si="4"/>
        <v>18</v>
      </c>
      <c r="J16" s="65"/>
      <c r="K16" s="68">
        <f t="shared" si="5"/>
        <v>32800</v>
      </c>
      <c r="L16" s="66">
        <f>Sheet2!AA14</f>
        <v>42329</v>
      </c>
      <c r="M16" s="67">
        <f>Sheet2!AB14</f>
        <v>137992</v>
      </c>
      <c r="N16" s="21">
        <f t="shared" si="1"/>
        <v>1.2905182926829268</v>
      </c>
      <c r="O16" s="69">
        <v>14</v>
      </c>
      <c r="P16" s="64">
        <f t="shared" si="6"/>
        <v>18</v>
      </c>
      <c r="Q16" s="70">
        <f>Sheet2!AG14</f>
        <v>2500</v>
      </c>
      <c r="R16" s="68">
        <f t="shared" si="7"/>
        <v>35000</v>
      </c>
      <c r="S16" s="71">
        <f>Sheet2!AJ14</f>
        <v>38590</v>
      </c>
      <c r="T16" s="72">
        <f>Sheet2!AK14</f>
        <v>322269</v>
      </c>
      <c r="U16" s="21">
        <f t="shared" si="2"/>
        <v>1.1025714285714285</v>
      </c>
    </row>
    <row r="17" spans="1:21" x14ac:dyDescent="0.25">
      <c r="A17" s="73">
        <v>15</v>
      </c>
      <c r="B17" s="64">
        <f t="shared" si="3"/>
        <v>19</v>
      </c>
      <c r="C17" s="65">
        <f>Sheet2!C15</f>
        <v>2500</v>
      </c>
      <c r="D17" s="16">
        <f>SUM($C$3:C17)</f>
        <v>37500</v>
      </c>
      <c r="E17" s="66">
        <f>Sheet2!G15</f>
        <v>40889</v>
      </c>
      <c r="F17" s="67">
        <f>Sheet2!H15</f>
        <v>272894</v>
      </c>
      <c r="G17" s="21">
        <f t="shared" si="0"/>
        <v>1.0903733333333334</v>
      </c>
      <c r="H17" s="73">
        <v>15</v>
      </c>
      <c r="I17" s="64">
        <f t="shared" si="4"/>
        <v>19</v>
      </c>
      <c r="J17" s="74"/>
      <c r="K17" s="75">
        <f t="shared" si="5"/>
        <v>32800</v>
      </c>
      <c r="L17" s="76">
        <f>Sheet2!AA15</f>
        <v>44564</v>
      </c>
      <c r="M17" s="77">
        <f>Sheet2!AB15</f>
        <v>142692</v>
      </c>
      <c r="N17" s="21">
        <f t="shared" si="1"/>
        <v>1.3586585365853658</v>
      </c>
      <c r="O17" s="69">
        <v>15</v>
      </c>
      <c r="P17" s="64">
        <f t="shared" si="6"/>
        <v>19</v>
      </c>
      <c r="Q17" s="70">
        <f>Sheet2!AG15</f>
        <v>2500</v>
      </c>
      <c r="R17" s="68">
        <f t="shared" si="7"/>
        <v>37500</v>
      </c>
      <c r="S17" s="71">
        <f>Sheet2!AJ15</f>
        <v>42565</v>
      </c>
      <c r="T17" s="72">
        <f>Sheet2!AK15</f>
        <v>334500</v>
      </c>
      <c r="U17" s="21">
        <f t="shared" si="2"/>
        <v>1.1350666666666667</v>
      </c>
    </row>
    <row r="18" spans="1:21" x14ac:dyDescent="0.25">
      <c r="A18" s="73">
        <v>16</v>
      </c>
      <c r="B18" s="64">
        <f t="shared" si="3"/>
        <v>20</v>
      </c>
      <c r="C18" s="65">
        <f>Sheet2!C16</f>
        <v>2500</v>
      </c>
      <c r="D18" s="16">
        <f>SUM($C$3:C18)</f>
        <v>40000</v>
      </c>
      <c r="E18" s="66">
        <f>Sheet2!G16</f>
        <v>45086</v>
      </c>
      <c r="F18" s="67">
        <f>Sheet2!H16</f>
        <v>279105</v>
      </c>
      <c r="G18" s="21">
        <f t="shared" si="0"/>
        <v>1.1271500000000001</v>
      </c>
      <c r="H18" s="73">
        <v>16</v>
      </c>
      <c r="I18" s="64">
        <f t="shared" si="4"/>
        <v>20</v>
      </c>
      <c r="J18" s="74"/>
      <c r="K18" s="75">
        <f t="shared" si="5"/>
        <v>32800</v>
      </c>
      <c r="L18" s="76">
        <f>Sheet2!AA16</f>
        <v>46920</v>
      </c>
      <c r="M18" s="77">
        <f>Sheet2!AB16</f>
        <v>147565</v>
      </c>
      <c r="N18" s="21">
        <f t="shared" si="1"/>
        <v>1.4304878048780487</v>
      </c>
      <c r="O18" s="69">
        <v>16</v>
      </c>
      <c r="P18" s="64">
        <f t="shared" si="6"/>
        <v>20</v>
      </c>
      <c r="Q18" s="70">
        <f>Sheet2!AG16</f>
        <v>2500</v>
      </c>
      <c r="R18" s="68">
        <f t="shared" si="7"/>
        <v>40000</v>
      </c>
      <c r="S18" s="71">
        <f>Sheet2!AJ16</f>
        <v>46777</v>
      </c>
      <c r="T18" s="72">
        <f>Sheet2!AK16</f>
        <v>347123</v>
      </c>
      <c r="U18" s="21">
        <f t="shared" si="2"/>
        <v>1.1694249999999999</v>
      </c>
    </row>
    <row r="19" spans="1:21" x14ac:dyDescent="0.25">
      <c r="A19" s="73">
        <v>17</v>
      </c>
      <c r="B19" s="64">
        <f t="shared" si="3"/>
        <v>21</v>
      </c>
      <c r="C19" s="65">
        <f>Sheet2!C17</f>
        <v>2500</v>
      </c>
      <c r="D19" s="16">
        <f>SUM($C$3:C19)</f>
        <v>42500</v>
      </c>
      <c r="E19" s="66">
        <f>Sheet2!G17</f>
        <v>49577</v>
      </c>
      <c r="F19" s="67">
        <f>Sheet2!H17</f>
        <v>286071</v>
      </c>
      <c r="G19" s="21">
        <f t="shared" si="0"/>
        <v>1.1665176470588234</v>
      </c>
      <c r="H19" s="73">
        <v>17</v>
      </c>
      <c r="I19" s="64">
        <f t="shared" si="4"/>
        <v>21</v>
      </c>
      <c r="J19" s="74"/>
      <c r="K19" s="75">
        <f t="shared" si="5"/>
        <v>32800</v>
      </c>
      <c r="L19" s="76">
        <f>Sheet2!AA17</f>
        <v>49401</v>
      </c>
      <c r="M19" s="77">
        <f>Sheet2!AB17</f>
        <v>152612</v>
      </c>
      <c r="N19" s="21">
        <f t="shared" si="1"/>
        <v>1.5061280487804878</v>
      </c>
      <c r="O19" s="69">
        <v>17</v>
      </c>
      <c r="P19" s="64">
        <f t="shared" si="6"/>
        <v>21</v>
      </c>
      <c r="Q19" s="70">
        <f>Sheet2!AG17</f>
        <v>2500</v>
      </c>
      <c r="R19" s="68">
        <f t="shared" si="7"/>
        <v>42500</v>
      </c>
      <c r="S19" s="71">
        <f>Sheet2!AJ17</f>
        <v>51190</v>
      </c>
      <c r="T19" s="72">
        <f>Sheet2!AK17</f>
        <v>359908</v>
      </c>
      <c r="U19" s="21">
        <f t="shared" si="2"/>
        <v>1.2044705882352942</v>
      </c>
    </row>
    <row r="20" spans="1:21" x14ac:dyDescent="0.25">
      <c r="A20" s="73">
        <v>18</v>
      </c>
      <c r="B20" s="64">
        <f t="shared" si="3"/>
        <v>22</v>
      </c>
      <c r="C20" s="65">
        <f>Sheet2!C18</f>
        <v>2500</v>
      </c>
      <c r="D20" s="16">
        <f>SUM($C$3:C20)</f>
        <v>45000</v>
      </c>
      <c r="E20" s="66">
        <f>Sheet2!G18</f>
        <v>54371</v>
      </c>
      <c r="F20" s="67">
        <f>Sheet2!H18</f>
        <v>293778</v>
      </c>
      <c r="G20" s="21">
        <f t="shared" si="0"/>
        <v>1.2082444444444445</v>
      </c>
      <c r="H20" s="73">
        <v>18</v>
      </c>
      <c r="I20" s="64">
        <f t="shared" si="4"/>
        <v>22</v>
      </c>
      <c r="J20" s="74"/>
      <c r="K20" s="75">
        <f t="shared" si="5"/>
        <v>32800</v>
      </c>
      <c r="L20" s="76">
        <f>Sheet2!AA18</f>
        <v>52013</v>
      </c>
      <c r="M20" s="77">
        <f>Sheet2!AB18</f>
        <v>157836</v>
      </c>
      <c r="N20" s="21">
        <f t="shared" si="1"/>
        <v>1.5857621951219512</v>
      </c>
      <c r="O20" s="69">
        <v>18</v>
      </c>
      <c r="P20" s="64">
        <f t="shared" si="6"/>
        <v>22</v>
      </c>
      <c r="Q20" s="70">
        <f>Sheet2!AG18</f>
        <v>2500</v>
      </c>
      <c r="R20" s="68">
        <f t="shared" si="7"/>
        <v>45000</v>
      </c>
      <c r="S20" s="71">
        <f>Sheet2!AJ18</f>
        <v>55816</v>
      </c>
      <c r="T20" s="72">
        <f>Sheet2!AK18</f>
        <v>372868</v>
      </c>
      <c r="U20" s="21">
        <f t="shared" si="2"/>
        <v>1.2403555555555557</v>
      </c>
    </row>
    <row r="21" spans="1:21" x14ac:dyDescent="0.25">
      <c r="A21" s="73">
        <v>19</v>
      </c>
      <c r="B21" s="64">
        <f t="shared" si="3"/>
        <v>23</v>
      </c>
      <c r="C21" s="65">
        <f>Sheet2!C19</f>
        <v>2500</v>
      </c>
      <c r="D21" s="16">
        <f>SUM($C$3:C21)</f>
        <v>47500</v>
      </c>
      <c r="E21" s="66">
        <f>Sheet2!G19</f>
        <v>59493</v>
      </c>
      <c r="F21" s="67">
        <f>Sheet2!H19</f>
        <v>302237</v>
      </c>
      <c r="G21" s="21">
        <f t="shared" si="0"/>
        <v>1.2524842105263159</v>
      </c>
      <c r="H21" s="73">
        <v>19</v>
      </c>
      <c r="I21" s="64">
        <f t="shared" si="4"/>
        <v>23</v>
      </c>
      <c r="J21" s="74"/>
      <c r="K21" s="75">
        <f t="shared" si="5"/>
        <v>32800</v>
      </c>
      <c r="L21" s="76">
        <f>Sheet2!AA19</f>
        <v>54770</v>
      </c>
      <c r="M21" s="77">
        <f>Sheet2!AB19</f>
        <v>163252</v>
      </c>
      <c r="N21" s="21">
        <f t="shared" si="1"/>
        <v>1.6698170731707318</v>
      </c>
      <c r="O21" s="69">
        <v>19</v>
      </c>
      <c r="P21" s="64">
        <f t="shared" si="6"/>
        <v>23</v>
      </c>
      <c r="Q21" s="70">
        <f>Sheet2!AG19</f>
        <v>2500</v>
      </c>
      <c r="R21" s="68">
        <f t="shared" si="7"/>
        <v>47500</v>
      </c>
      <c r="S21" s="71">
        <f>Sheet2!AJ19</f>
        <v>60670</v>
      </c>
      <c r="T21" s="72">
        <f>Sheet2!AK19</f>
        <v>386024</v>
      </c>
      <c r="U21" s="21">
        <f t="shared" si="2"/>
        <v>1.2772631578947369</v>
      </c>
    </row>
    <row r="22" spans="1:21" x14ac:dyDescent="0.25">
      <c r="A22" s="73">
        <v>20</v>
      </c>
      <c r="B22" s="64">
        <f t="shared" si="3"/>
        <v>24</v>
      </c>
      <c r="C22" s="65">
        <f>Sheet2!C20</f>
        <v>2500</v>
      </c>
      <c r="D22" s="16">
        <f>SUM($C$3:C22)</f>
        <v>50000</v>
      </c>
      <c r="E22" s="66">
        <f>Sheet2!G20</f>
        <v>64952</v>
      </c>
      <c r="F22" s="67">
        <f>Sheet2!H20</f>
        <v>311415</v>
      </c>
      <c r="G22" s="21">
        <f t="shared" si="0"/>
        <v>1.29904</v>
      </c>
      <c r="H22" s="73">
        <v>20</v>
      </c>
      <c r="I22" s="64">
        <f t="shared" si="4"/>
        <v>24</v>
      </c>
      <c r="J22" s="74"/>
      <c r="K22" s="75">
        <f t="shared" si="5"/>
        <v>32800</v>
      </c>
      <c r="L22" s="76">
        <f>Sheet2!AA20</f>
        <v>57671</v>
      </c>
      <c r="M22" s="77">
        <f>Sheet2!AB20</f>
        <v>168856</v>
      </c>
      <c r="N22" s="21">
        <f t="shared" si="1"/>
        <v>1.7582621951219513</v>
      </c>
      <c r="O22" s="69">
        <v>20</v>
      </c>
      <c r="P22" s="64">
        <f t="shared" si="6"/>
        <v>24</v>
      </c>
      <c r="Q22" s="70">
        <f>Sheet2!AG20</f>
        <v>2500</v>
      </c>
      <c r="R22" s="68">
        <f t="shared" si="7"/>
        <v>50000</v>
      </c>
      <c r="S22" s="71">
        <f>Sheet2!AJ20</f>
        <v>65757</v>
      </c>
      <c r="T22" s="72">
        <f>Sheet2!AK20</f>
        <v>399346</v>
      </c>
      <c r="U22" s="21">
        <f t="shared" si="2"/>
        <v>1.31514</v>
      </c>
    </row>
    <row r="23" spans="1:21" x14ac:dyDescent="0.25">
      <c r="A23" s="73">
        <v>21</v>
      </c>
      <c r="B23" s="64">
        <f t="shared" si="3"/>
        <v>25</v>
      </c>
      <c r="C23" s="65"/>
      <c r="D23" s="16">
        <f>SUM($C$3:C23)</f>
        <v>50000</v>
      </c>
      <c r="E23" s="66">
        <f>Sheet2!G21</f>
        <v>68311</v>
      </c>
      <c r="F23" s="67">
        <f>Sheet2!H21</f>
        <v>319194</v>
      </c>
      <c r="G23" s="21">
        <f t="shared" si="0"/>
        <v>1.36622</v>
      </c>
      <c r="H23" s="73">
        <v>21</v>
      </c>
      <c r="I23" s="64">
        <f t="shared" si="4"/>
        <v>25</v>
      </c>
      <c r="J23" s="74"/>
      <c r="K23" s="75">
        <f t="shared" si="5"/>
        <v>32800</v>
      </c>
      <c r="L23" s="76">
        <f>Sheet2!AA21</f>
        <v>60725</v>
      </c>
      <c r="M23" s="77">
        <f>Sheet2!AB21</f>
        <v>174652</v>
      </c>
      <c r="N23" s="21">
        <f t="shared" si="1"/>
        <v>1.8513719512195121</v>
      </c>
      <c r="O23" s="69">
        <v>21</v>
      </c>
      <c r="P23" s="64">
        <f t="shared" si="6"/>
        <v>25</v>
      </c>
      <c r="Q23" s="70">
        <f>Sheet2!AG21</f>
        <v>0</v>
      </c>
      <c r="R23" s="68">
        <f>R22+Q23</f>
        <v>50000</v>
      </c>
      <c r="S23" s="71">
        <f>Sheet2!AJ21</f>
        <v>69020</v>
      </c>
      <c r="T23" s="72">
        <f>Sheet2!AK21</f>
        <v>322508</v>
      </c>
      <c r="U23" s="21">
        <f t="shared" si="2"/>
        <v>1.3804000000000001</v>
      </c>
    </row>
    <row r="24" spans="1:21" x14ac:dyDescent="0.25">
      <c r="A24" s="73">
        <v>22</v>
      </c>
      <c r="B24" s="64">
        <f t="shared" si="3"/>
        <v>26</v>
      </c>
      <c r="C24" s="65"/>
      <c r="D24" s="16">
        <f>SUM($C$3:C24)</f>
        <v>50000</v>
      </c>
      <c r="E24" s="66">
        <f>Sheet2!G22</f>
        <v>71845</v>
      </c>
      <c r="F24" s="67">
        <f>Sheet2!H22</f>
        <v>327161</v>
      </c>
      <c r="G24" s="21">
        <f t="shared" si="0"/>
        <v>1.4369000000000001</v>
      </c>
      <c r="H24" s="73">
        <v>22</v>
      </c>
      <c r="I24" s="64">
        <f t="shared" si="4"/>
        <v>26</v>
      </c>
      <c r="J24" s="74"/>
      <c r="K24" s="75">
        <f t="shared" si="5"/>
        <v>32800</v>
      </c>
      <c r="L24" s="76">
        <f>Sheet2!AA22</f>
        <v>63943</v>
      </c>
      <c r="M24" s="77">
        <f>Sheet2!AB22</f>
        <v>180652</v>
      </c>
      <c r="N24" s="21">
        <f t="shared" si="1"/>
        <v>1.9494817073170732</v>
      </c>
      <c r="O24" s="69">
        <v>22</v>
      </c>
      <c r="P24" s="64">
        <f t="shared" si="6"/>
        <v>26</v>
      </c>
      <c r="Q24" s="70">
        <f>Sheet2!AG22</f>
        <v>0</v>
      </c>
      <c r="R24" s="68">
        <f t="shared" si="7"/>
        <v>50000</v>
      </c>
      <c r="S24" s="71">
        <f>Sheet2!AJ22</f>
        <v>72447</v>
      </c>
      <c r="T24" s="72">
        <f>Sheet2!AK22</f>
        <v>329905</v>
      </c>
      <c r="U24" s="21">
        <f t="shared" si="2"/>
        <v>1.4489399999999999</v>
      </c>
    </row>
    <row r="25" spans="1:21" x14ac:dyDescent="0.25">
      <c r="A25" s="73">
        <v>23</v>
      </c>
      <c r="B25" s="64">
        <f t="shared" si="3"/>
        <v>27</v>
      </c>
      <c r="C25" s="78"/>
      <c r="D25" s="16">
        <f>SUM($C$3:C25)</f>
        <v>50000</v>
      </c>
      <c r="E25" s="66">
        <f>Sheet2!G23</f>
        <v>75569</v>
      </c>
      <c r="F25" s="67">
        <f>Sheet2!H23</f>
        <v>335324</v>
      </c>
      <c r="G25" s="21">
        <f t="shared" si="0"/>
        <v>1.5113799999999999</v>
      </c>
      <c r="H25" s="73">
        <v>23</v>
      </c>
      <c r="I25" s="64">
        <f t="shared" si="4"/>
        <v>27</v>
      </c>
      <c r="J25" s="74"/>
      <c r="K25" s="75">
        <f t="shared" si="5"/>
        <v>32800</v>
      </c>
      <c r="L25" s="76">
        <f>Sheet2!AA23</f>
        <v>67332</v>
      </c>
      <c r="M25" s="77">
        <f>Sheet2!AB23</f>
        <v>186851</v>
      </c>
      <c r="N25" s="21">
        <f t="shared" si="1"/>
        <v>2.0528048780487804</v>
      </c>
      <c r="O25" s="69">
        <v>23</v>
      </c>
      <c r="P25" s="64">
        <f t="shared" si="6"/>
        <v>27</v>
      </c>
      <c r="Q25" s="70">
        <f>Sheet2!AG23</f>
        <v>0</v>
      </c>
      <c r="R25" s="68">
        <f t="shared" si="7"/>
        <v>50000</v>
      </c>
      <c r="S25" s="71">
        <f>Sheet2!AJ23</f>
        <v>76052</v>
      </c>
      <c r="T25" s="72">
        <f>Sheet2!AK23</f>
        <v>337467</v>
      </c>
      <c r="U25" s="21">
        <f t="shared" si="2"/>
        <v>1.5210399999999999</v>
      </c>
    </row>
    <row r="26" spans="1:21" x14ac:dyDescent="0.25">
      <c r="A26" s="73">
        <v>24</v>
      </c>
      <c r="B26" s="64">
        <f t="shared" si="3"/>
        <v>28</v>
      </c>
      <c r="C26" s="78"/>
      <c r="D26" s="16">
        <f>SUM($C$3:C26)</f>
        <v>50000</v>
      </c>
      <c r="E26" s="66">
        <f>Sheet2!G24</f>
        <v>79490</v>
      </c>
      <c r="F26" s="67">
        <f>Sheet2!H24</f>
        <v>343650</v>
      </c>
      <c r="G26" s="21">
        <f t="shared" si="0"/>
        <v>1.5898000000000001</v>
      </c>
      <c r="H26" s="73">
        <v>24</v>
      </c>
      <c r="I26" s="64">
        <f t="shared" si="4"/>
        <v>28</v>
      </c>
      <c r="J26" s="74"/>
      <c r="K26" s="75">
        <f t="shared" si="5"/>
        <v>32800</v>
      </c>
      <c r="L26" s="76">
        <f>Sheet2!AA24</f>
        <v>70904</v>
      </c>
      <c r="M26" s="77">
        <f>Sheet2!AB24</f>
        <v>193251</v>
      </c>
      <c r="N26" s="21">
        <f t="shared" si="1"/>
        <v>2.1617073170731707</v>
      </c>
      <c r="O26" s="69">
        <v>24</v>
      </c>
      <c r="P26" s="64">
        <f t="shared" si="6"/>
        <v>28</v>
      </c>
      <c r="Q26" s="79">
        <f>Sheet2!AG24</f>
        <v>0</v>
      </c>
      <c r="R26" s="75">
        <f t="shared" si="7"/>
        <v>50000</v>
      </c>
      <c r="S26" s="80">
        <f>Sheet2!AJ24</f>
        <v>79843</v>
      </c>
      <c r="T26" s="81">
        <f>Sheet2!AK24</f>
        <v>345177</v>
      </c>
      <c r="U26" s="82">
        <f t="shared" si="2"/>
        <v>1.5968599999999999</v>
      </c>
    </row>
    <row r="27" spans="1:21" x14ac:dyDescent="0.25">
      <c r="A27" s="73">
        <v>25</v>
      </c>
      <c r="B27" s="64">
        <f t="shared" si="3"/>
        <v>29</v>
      </c>
      <c r="C27" s="78"/>
      <c r="D27" s="16">
        <f>SUM($C$3:C27)</f>
        <v>50000</v>
      </c>
      <c r="E27" s="66">
        <f>Sheet2!G25</f>
        <v>83629</v>
      </c>
      <c r="F27" s="67">
        <f>Sheet2!H25</f>
        <v>352165</v>
      </c>
      <c r="G27" s="21">
        <f t="shared" si="0"/>
        <v>1.67258</v>
      </c>
      <c r="H27" s="73">
        <v>25</v>
      </c>
      <c r="I27" s="64">
        <f t="shared" si="4"/>
        <v>29</v>
      </c>
      <c r="J27" s="74"/>
      <c r="K27" s="75">
        <f t="shared" si="5"/>
        <v>32800</v>
      </c>
      <c r="L27" s="76">
        <f>Sheet2!AA25</f>
        <v>74665</v>
      </c>
      <c r="M27" s="77">
        <f>Sheet2!AB25</f>
        <v>199859</v>
      </c>
      <c r="N27" s="21">
        <f t="shared" si="1"/>
        <v>2.2763719512195122</v>
      </c>
      <c r="O27" s="69">
        <v>25</v>
      </c>
      <c r="P27" s="64">
        <f t="shared" si="6"/>
        <v>29</v>
      </c>
      <c r="Q27" s="79">
        <f>Sheet2!AG25</f>
        <v>0</v>
      </c>
      <c r="R27" s="75">
        <f t="shared" si="7"/>
        <v>50000</v>
      </c>
      <c r="S27" s="80">
        <f>Sheet2!AJ25</f>
        <v>83838</v>
      </c>
      <c r="T27" s="81">
        <f>Sheet2!AK25</f>
        <v>353045</v>
      </c>
      <c r="U27" s="82">
        <f t="shared" si="2"/>
        <v>1.67676</v>
      </c>
    </row>
    <row r="28" spans="1:21" x14ac:dyDescent="0.25">
      <c r="A28" s="73">
        <v>26</v>
      </c>
      <c r="B28" s="64">
        <f t="shared" si="3"/>
        <v>30</v>
      </c>
      <c r="C28" s="78"/>
      <c r="D28" s="16">
        <f>SUM($C$3:C28)</f>
        <v>50000</v>
      </c>
      <c r="E28" s="66">
        <f>Sheet2!G26</f>
        <v>87985</v>
      </c>
      <c r="F28" s="67">
        <f>Sheet2!H26</f>
        <v>360862</v>
      </c>
      <c r="G28" s="21">
        <f t="shared" si="0"/>
        <v>1.7597</v>
      </c>
      <c r="H28" s="73">
        <v>26</v>
      </c>
      <c r="I28" s="64">
        <f t="shared" si="4"/>
        <v>30</v>
      </c>
      <c r="J28" s="74"/>
      <c r="K28" s="75">
        <f t="shared" si="5"/>
        <v>32800</v>
      </c>
      <c r="L28" s="76">
        <f>Sheet2!AA26</f>
        <v>78630</v>
      </c>
      <c r="M28" s="77">
        <f>Sheet2!AB26</f>
        <v>206686</v>
      </c>
      <c r="N28" s="21">
        <f t="shared" si="1"/>
        <v>2.3972560975609758</v>
      </c>
      <c r="O28" s="69">
        <v>26</v>
      </c>
      <c r="P28" s="64">
        <f t="shared" si="6"/>
        <v>30</v>
      </c>
      <c r="Q28" s="79">
        <f>Sheet2!AG26</f>
        <v>0</v>
      </c>
      <c r="R28" s="75">
        <f t="shared" si="7"/>
        <v>50000</v>
      </c>
      <c r="S28" s="80">
        <f>Sheet2!AJ26</f>
        <v>88043</v>
      </c>
      <c r="T28" s="81">
        <f>Sheet2!AK26</f>
        <v>361097</v>
      </c>
      <c r="U28" s="82">
        <f t="shared" si="2"/>
        <v>1.7608600000000001</v>
      </c>
    </row>
    <row r="29" spans="1:21" x14ac:dyDescent="0.25">
      <c r="A29" s="73">
        <v>27</v>
      </c>
      <c r="B29" s="64">
        <f t="shared" si="3"/>
        <v>31</v>
      </c>
      <c r="C29" s="78"/>
      <c r="D29" s="16">
        <f>SUM($C$3:C29)</f>
        <v>50000</v>
      </c>
      <c r="E29" s="66">
        <f>Sheet2!G27</f>
        <v>92578</v>
      </c>
      <c r="F29" s="67">
        <f>Sheet2!H27</f>
        <v>369766</v>
      </c>
      <c r="G29" s="21">
        <f t="shared" si="0"/>
        <v>1.8515600000000001</v>
      </c>
      <c r="H29" s="73">
        <v>27</v>
      </c>
      <c r="I29" s="64">
        <f t="shared" si="4"/>
        <v>31</v>
      </c>
      <c r="J29" s="74"/>
      <c r="K29" s="75">
        <f t="shared" si="5"/>
        <v>32800</v>
      </c>
      <c r="L29" s="76">
        <f>Sheet2!AA27</f>
        <v>82806</v>
      </c>
      <c r="M29" s="77">
        <f>Sheet2!AB27</f>
        <v>213736</v>
      </c>
      <c r="N29" s="21">
        <f t="shared" si="1"/>
        <v>2.5245731707317072</v>
      </c>
      <c r="O29" s="69">
        <v>27</v>
      </c>
      <c r="P29" s="64">
        <f t="shared" si="6"/>
        <v>31</v>
      </c>
      <c r="Q29" s="79">
        <f>Sheet2!AG27</f>
        <v>0</v>
      </c>
      <c r="R29" s="75">
        <f t="shared" si="7"/>
        <v>50000</v>
      </c>
      <c r="S29" s="80">
        <f>Sheet2!AJ27</f>
        <v>92466</v>
      </c>
      <c r="T29" s="81">
        <f>Sheet2!AK27</f>
        <v>369319</v>
      </c>
      <c r="U29" s="82">
        <f t="shared" si="2"/>
        <v>1.8493200000000001</v>
      </c>
    </row>
    <row r="30" spans="1:21" x14ac:dyDescent="0.25">
      <c r="A30" s="73">
        <v>28</v>
      </c>
      <c r="B30" s="64">
        <f t="shared" si="3"/>
        <v>32</v>
      </c>
      <c r="C30" s="78"/>
      <c r="D30" s="16">
        <f>SUM($C$3:C30)</f>
        <v>50000</v>
      </c>
      <c r="E30" s="66">
        <f>Sheet2!G28</f>
        <v>97406</v>
      </c>
      <c r="F30" s="67">
        <f>Sheet2!H28</f>
        <v>378879</v>
      </c>
      <c r="G30" s="21">
        <f t="shared" si="0"/>
        <v>1.9481200000000001</v>
      </c>
      <c r="H30" s="73">
        <v>28</v>
      </c>
      <c r="I30" s="64">
        <f t="shared" si="4"/>
        <v>32</v>
      </c>
      <c r="J30" s="74"/>
      <c r="K30" s="75">
        <f t="shared" si="5"/>
        <v>32800</v>
      </c>
      <c r="L30" s="76">
        <f>Sheet2!AA28</f>
        <v>87202</v>
      </c>
      <c r="M30" s="77">
        <f>Sheet2!AB28</f>
        <v>221027</v>
      </c>
      <c r="N30" s="21">
        <f t="shared" si="1"/>
        <v>2.6585975609756098</v>
      </c>
      <c r="O30" s="69">
        <v>28</v>
      </c>
      <c r="P30" s="64">
        <f t="shared" si="6"/>
        <v>32</v>
      </c>
      <c r="Q30" s="79">
        <f>Sheet2!AG28</f>
        <v>0</v>
      </c>
      <c r="R30" s="75">
        <f t="shared" si="7"/>
        <v>50000</v>
      </c>
      <c r="S30" s="80">
        <f>Sheet2!AJ28</f>
        <v>97112</v>
      </c>
      <c r="T30" s="81">
        <f>Sheet2!AK28</f>
        <v>377735</v>
      </c>
      <c r="U30" s="82">
        <f t="shared" si="2"/>
        <v>1.94224</v>
      </c>
    </row>
    <row r="31" spans="1:21" x14ac:dyDescent="0.25">
      <c r="A31" s="73">
        <v>29</v>
      </c>
      <c r="B31" s="64">
        <f t="shared" si="3"/>
        <v>33</v>
      </c>
      <c r="C31" s="78"/>
      <c r="D31" s="16">
        <f>SUM($C$3:C31)</f>
        <v>50000</v>
      </c>
      <c r="E31" s="66">
        <f>Sheet2!G29</f>
        <v>102485</v>
      </c>
      <c r="F31" s="67">
        <f>Sheet2!H29</f>
        <v>388244</v>
      </c>
      <c r="G31" s="21">
        <f t="shared" si="0"/>
        <v>2.0497000000000001</v>
      </c>
      <c r="H31" s="73">
        <v>29</v>
      </c>
      <c r="I31" s="64">
        <f t="shared" si="4"/>
        <v>33</v>
      </c>
      <c r="J31" s="74"/>
      <c r="K31" s="75">
        <f t="shared" si="5"/>
        <v>32800</v>
      </c>
      <c r="L31" s="76">
        <f>Sheet2!AA29</f>
        <v>91826</v>
      </c>
      <c r="M31" s="77">
        <f>Sheet2!AB29</f>
        <v>228571</v>
      </c>
      <c r="N31" s="21">
        <f t="shared" si="1"/>
        <v>2.7995731707317075</v>
      </c>
      <c r="O31" s="69">
        <v>29</v>
      </c>
      <c r="P31" s="64">
        <f t="shared" si="6"/>
        <v>33</v>
      </c>
      <c r="Q31" s="79">
        <f>Sheet2!AG29</f>
        <v>0</v>
      </c>
      <c r="R31" s="75">
        <f t="shared" si="7"/>
        <v>50000</v>
      </c>
      <c r="S31" s="80">
        <f>Sheet2!AJ29</f>
        <v>101988</v>
      </c>
      <c r="T31" s="81">
        <f>Sheet2!AK29</f>
        <v>386363</v>
      </c>
      <c r="U31" s="82">
        <f t="shared" si="2"/>
        <v>2.0397599999999998</v>
      </c>
    </row>
    <row r="32" spans="1:21" x14ac:dyDescent="0.25">
      <c r="A32" s="73">
        <v>30</v>
      </c>
      <c r="B32" s="64">
        <f t="shared" si="3"/>
        <v>34</v>
      </c>
      <c r="C32" s="78"/>
      <c r="D32" s="16">
        <f>SUM($C$3:C32)</f>
        <v>50000</v>
      </c>
      <c r="E32" s="66">
        <f>Sheet2!G30</f>
        <v>107816</v>
      </c>
      <c r="F32" s="67">
        <f>Sheet2!H30</f>
        <v>397846</v>
      </c>
      <c r="G32" s="21">
        <f t="shared" si="0"/>
        <v>2.15632</v>
      </c>
      <c r="H32" s="73">
        <v>30</v>
      </c>
      <c r="I32" s="64">
        <f t="shared" si="4"/>
        <v>34</v>
      </c>
      <c r="J32" s="74"/>
      <c r="K32" s="75">
        <f t="shared" si="5"/>
        <v>32800</v>
      </c>
      <c r="L32" s="76">
        <f>Sheet2!AA30</f>
        <v>96690</v>
      </c>
      <c r="M32" s="77">
        <f>Sheet2!AB30</f>
        <v>236371</v>
      </c>
      <c r="N32" s="21">
        <f t="shared" si="1"/>
        <v>2.9478658536585365</v>
      </c>
      <c r="O32" s="69">
        <v>30</v>
      </c>
      <c r="P32" s="64">
        <f t="shared" si="6"/>
        <v>34</v>
      </c>
      <c r="Q32" s="79">
        <f>Sheet2!AG30</f>
        <v>0</v>
      </c>
      <c r="R32" s="75">
        <f t="shared" si="7"/>
        <v>50000</v>
      </c>
      <c r="S32" s="80">
        <f>Sheet2!AJ30</f>
        <v>107103</v>
      </c>
      <c r="T32" s="81">
        <f>Sheet2!AK30</f>
        <v>395214</v>
      </c>
      <c r="U32" s="82">
        <f t="shared" si="2"/>
        <v>2.1420599999999999</v>
      </c>
    </row>
    <row r="33" spans="1:21" x14ac:dyDescent="0.25">
      <c r="A33" s="73">
        <v>31</v>
      </c>
      <c r="B33" s="64">
        <f t="shared" si="3"/>
        <v>35</v>
      </c>
      <c r="C33" s="78"/>
      <c r="D33" s="16">
        <f>SUM($C$3:C33)</f>
        <v>50000</v>
      </c>
      <c r="E33" s="66">
        <f>Sheet2!G31</f>
        <v>113420</v>
      </c>
      <c r="F33" s="67">
        <f>Sheet2!H31</f>
        <v>407707</v>
      </c>
      <c r="G33" s="21">
        <f t="shared" si="0"/>
        <v>2.2684000000000002</v>
      </c>
      <c r="H33" s="73">
        <v>31</v>
      </c>
      <c r="I33" s="64">
        <f t="shared" si="4"/>
        <v>35</v>
      </c>
      <c r="J33" s="74"/>
      <c r="K33" s="75">
        <f t="shared" si="5"/>
        <v>32800</v>
      </c>
      <c r="L33" s="76">
        <f>Sheet2!AA31</f>
        <v>101806</v>
      </c>
      <c r="M33" s="77">
        <f>Sheet2!AB31</f>
        <v>244438</v>
      </c>
      <c r="N33" s="21">
        <f t="shared" si="1"/>
        <v>3.1038414634146343</v>
      </c>
      <c r="O33" s="69">
        <v>31</v>
      </c>
      <c r="P33" s="64">
        <f t="shared" si="6"/>
        <v>35</v>
      </c>
      <c r="Q33" s="79">
        <f>Sheet2!AG31</f>
        <v>0</v>
      </c>
      <c r="R33" s="75">
        <f t="shared" si="7"/>
        <v>50000</v>
      </c>
      <c r="S33" s="80">
        <f>Sheet2!AJ31</f>
        <v>112469</v>
      </c>
      <c r="T33" s="81">
        <f>Sheet2!AK31</f>
        <v>404288</v>
      </c>
      <c r="U33" s="82">
        <f t="shared" si="2"/>
        <v>2.2493799999999999</v>
      </c>
    </row>
    <row r="34" spans="1:21" x14ac:dyDescent="0.25">
      <c r="A34" s="73">
        <v>32</v>
      </c>
      <c r="B34" s="64">
        <f t="shared" si="3"/>
        <v>36</v>
      </c>
      <c r="C34" s="78"/>
      <c r="D34" s="16">
        <f>SUM($C$3:C34)</f>
        <v>50000</v>
      </c>
      <c r="E34" s="66">
        <f>Sheet2!G32</f>
        <v>119309</v>
      </c>
      <c r="F34" s="67">
        <f>Sheet2!H32</f>
        <v>417835</v>
      </c>
      <c r="G34" s="21">
        <f t="shared" si="0"/>
        <v>2.38618</v>
      </c>
      <c r="H34" s="73">
        <v>32</v>
      </c>
      <c r="I34" s="64">
        <f t="shared" si="4"/>
        <v>36</v>
      </c>
      <c r="J34" s="74"/>
      <c r="K34" s="75">
        <f t="shared" si="5"/>
        <v>32800</v>
      </c>
      <c r="L34" s="76">
        <f>Sheet2!AA32</f>
        <v>107182</v>
      </c>
      <c r="M34" s="77">
        <f>Sheet2!AB32</f>
        <v>252783</v>
      </c>
      <c r="N34" s="21">
        <f t="shared" si="1"/>
        <v>3.2677439024390242</v>
      </c>
      <c r="O34" s="69">
        <v>32</v>
      </c>
      <c r="P34" s="64">
        <f t="shared" si="6"/>
        <v>36</v>
      </c>
      <c r="Q34" s="79">
        <f>Sheet2!AG32</f>
        <v>0</v>
      </c>
      <c r="R34" s="75">
        <f t="shared" si="7"/>
        <v>50000</v>
      </c>
      <c r="S34" s="80">
        <f>Sheet2!AJ32</f>
        <v>118099</v>
      </c>
      <c r="T34" s="81">
        <f>Sheet2!AK32</f>
        <v>413598</v>
      </c>
      <c r="U34" s="82">
        <f t="shared" si="2"/>
        <v>2.36198</v>
      </c>
    </row>
    <row r="35" spans="1:21" x14ac:dyDescent="0.25">
      <c r="A35" s="73">
        <v>33</v>
      </c>
      <c r="B35" s="64">
        <f t="shared" si="3"/>
        <v>37</v>
      </c>
      <c r="C35" s="78"/>
      <c r="D35" s="16">
        <f>SUM($C$3:C35)</f>
        <v>50000</v>
      </c>
      <c r="E35" s="66">
        <f>Sheet2!G33</f>
        <v>125488</v>
      </c>
      <c r="F35" s="67">
        <f>Sheet2!H33</f>
        <v>428258</v>
      </c>
      <c r="G35" s="21">
        <f t="shared" si="0"/>
        <v>2.50976</v>
      </c>
      <c r="H35" s="73">
        <v>33</v>
      </c>
      <c r="I35" s="64">
        <f t="shared" si="4"/>
        <v>37</v>
      </c>
      <c r="J35" s="74"/>
      <c r="K35" s="75">
        <f t="shared" si="5"/>
        <v>32800</v>
      </c>
      <c r="L35" s="76">
        <f>Sheet2!AA33</f>
        <v>112838</v>
      </c>
      <c r="M35" s="77">
        <f>Sheet2!AB33</f>
        <v>261424</v>
      </c>
      <c r="N35" s="21">
        <f t="shared" si="1"/>
        <v>3.4401829268292681</v>
      </c>
      <c r="O35" s="69">
        <v>33</v>
      </c>
      <c r="P35" s="64">
        <f t="shared" si="6"/>
        <v>37</v>
      </c>
      <c r="Q35" s="79">
        <f>Sheet2!AG33</f>
        <v>0</v>
      </c>
      <c r="R35" s="75">
        <f t="shared" si="7"/>
        <v>50000</v>
      </c>
      <c r="S35" s="80">
        <f>Sheet2!AJ33</f>
        <v>123996</v>
      </c>
      <c r="T35" s="81">
        <f>Sheet2!AK33</f>
        <v>423166</v>
      </c>
      <c r="U35" s="82">
        <f t="shared" si="2"/>
        <v>2.4799199999999999</v>
      </c>
    </row>
    <row r="36" spans="1:21" x14ac:dyDescent="0.25">
      <c r="A36" s="73">
        <v>34</v>
      </c>
      <c r="B36" s="64">
        <f t="shared" si="3"/>
        <v>38</v>
      </c>
      <c r="C36" s="78"/>
      <c r="D36" s="16">
        <f>SUM($C$3:C36)</f>
        <v>50000</v>
      </c>
      <c r="E36" s="66">
        <f>Sheet2!G34</f>
        <v>131981</v>
      </c>
      <c r="F36" s="67">
        <f>Sheet2!H34</f>
        <v>438970</v>
      </c>
      <c r="G36" s="21">
        <f t="shared" si="0"/>
        <v>2.6396199999999999</v>
      </c>
      <c r="H36" s="73">
        <v>34</v>
      </c>
      <c r="I36" s="64">
        <f t="shared" si="4"/>
        <v>38</v>
      </c>
      <c r="J36" s="74"/>
      <c r="K36" s="75">
        <f t="shared" si="5"/>
        <v>32800</v>
      </c>
      <c r="L36" s="76">
        <f>Sheet2!AA34</f>
        <v>118778</v>
      </c>
      <c r="M36" s="77">
        <f>Sheet2!AB34</f>
        <v>270361</v>
      </c>
      <c r="N36" s="21">
        <f t="shared" si="1"/>
        <v>3.6212804878048779</v>
      </c>
      <c r="O36" s="69">
        <v>34</v>
      </c>
      <c r="P36" s="64">
        <f t="shared" si="6"/>
        <v>38</v>
      </c>
      <c r="Q36" s="79">
        <f>Sheet2!AG34</f>
        <v>0</v>
      </c>
      <c r="R36" s="75">
        <f t="shared" ref="R36:R55" si="8">R35+Q36</f>
        <v>50000</v>
      </c>
      <c r="S36" s="80">
        <f>Sheet2!AJ34</f>
        <v>130182</v>
      </c>
      <c r="T36" s="81">
        <f>Sheet2!AK34</f>
        <v>432988</v>
      </c>
      <c r="U36" s="82">
        <f t="shared" ref="U36:U55" si="9">S36/R36</f>
        <v>2.60364</v>
      </c>
    </row>
    <row r="37" spans="1:21" x14ac:dyDescent="0.25">
      <c r="A37" s="73">
        <v>35</v>
      </c>
      <c r="B37" s="64">
        <f t="shared" si="3"/>
        <v>39</v>
      </c>
      <c r="C37" s="78"/>
      <c r="D37" s="16">
        <f>SUM($C$3:C37)</f>
        <v>50000</v>
      </c>
      <c r="E37" s="66">
        <f>Sheet2!G35</f>
        <v>138792</v>
      </c>
      <c r="F37" s="67">
        <f>Sheet2!H35</f>
        <v>449994</v>
      </c>
      <c r="G37" s="21">
        <f t="shared" si="0"/>
        <v>2.7758400000000001</v>
      </c>
      <c r="H37" s="73">
        <v>35</v>
      </c>
      <c r="I37" s="64">
        <f t="shared" si="4"/>
        <v>39</v>
      </c>
      <c r="J37" s="74"/>
      <c r="K37" s="75">
        <f t="shared" si="5"/>
        <v>32800</v>
      </c>
      <c r="L37" s="76">
        <f>Sheet2!AA35</f>
        <v>125030</v>
      </c>
      <c r="M37" s="77">
        <f>Sheet2!AB35</f>
        <v>279627</v>
      </c>
      <c r="N37" s="21">
        <f t="shared" si="1"/>
        <v>3.8118902439024391</v>
      </c>
      <c r="O37" s="69">
        <v>35</v>
      </c>
      <c r="P37" s="64">
        <f t="shared" si="6"/>
        <v>39</v>
      </c>
      <c r="Q37" s="79">
        <f>Sheet2!AG35</f>
        <v>0</v>
      </c>
      <c r="R37" s="75">
        <f t="shared" si="8"/>
        <v>50000</v>
      </c>
      <c r="S37" s="80">
        <f>Sheet2!AJ35</f>
        <v>136664</v>
      </c>
      <c r="T37" s="81">
        <f>Sheet2!AK35</f>
        <v>443094</v>
      </c>
      <c r="U37" s="82">
        <f t="shared" si="9"/>
        <v>2.7332800000000002</v>
      </c>
    </row>
    <row r="38" spans="1:21" x14ac:dyDescent="0.25">
      <c r="A38" s="73">
        <v>36</v>
      </c>
      <c r="B38" s="64">
        <f t="shared" si="3"/>
        <v>40</v>
      </c>
      <c r="C38" s="78"/>
      <c r="D38" s="16">
        <f>SUM($C$3:C38)</f>
        <v>50000</v>
      </c>
      <c r="E38" s="66">
        <f>Sheet2!G36</f>
        <v>145949</v>
      </c>
      <c r="F38" s="67">
        <f>Sheet2!H36</f>
        <v>461338</v>
      </c>
      <c r="G38" s="21">
        <f t="shared" si="0"/>
        <v>2.9189799999999999</v>
      </c>
      <c r="H38" s="73">
        <v>36</v>
      </c>
      <c r="I38" s="64">
        <f t="shared" si="4"/>
        <v>40</v>
      </c>
      <c r="J38" s="74"/>
      <c r="K38" s="75">
        <f t="shared" si="5"/>
        <v>32800</v>
      </c>
      <c r="L38" s="76">
        <f>Sheet2!AA36</f>
        <v>131600</v>
      </c>
      <c r="M38" s="77">
        <f>Sheet2!AB36</f>
        <v>289219</v>
      </c>
      <c r="N38" s="21">
        <f t="shared" si="1"/>
        <v>4.0121951219512191</v>
      </c>
      <c r="O38" s="69">
        <v>36</v>
      </c>
      <c r="P38" s="64">
        <f t="shared" si="6"/>
        <v>40</v>
      </c>
      <c r="Q38" s="79">
        <f>Sheet2!AG36</f>
        <v>0</v>
      </c>
      <c r="R38" s="75">
        <f t="shared" si="8"/>
        <v>50000</v>
      </c>
      <c r="S38" s="80">
        <f>Sheet2!AJ36</f>
        <v>143465</v>
      </c>
      <c r="T38" s="81">
        <f>Sheet2!AK36</f>
        <v>453487</v>
      </c>
      <c r="U38" s="82">
        <f t="shared" si="9"/>
        <v>2.8693</v>
      </c>
    </row>
    <row r="39" spans="1:21" x14ac:dyDescent="0.25">
      <c r="A39" s="73">
        <v>37</v>
      </c>
      <c r="B39" s="64">
        <f t="shared" si="3"/>
        <v>41</v>
      </c>
      <c r="C39" s="83"/>
      <c r="D39" s="16">
        <f>SUM($C$3:C39)</f>
        <v>50000</v>
      </c>
      <c r="E39" s="76">
        <f>Sheet2!G37</f>
        <v>153453</v>
      </c>
      <c r="F39" s="77">
        <f>Sheet2!H37</f>
        <v>472992</v>
      </c>
      <c r="G39" s="21">
        <f t="shared" ref="G39:G55" si="10">E39/D39</f>
        <v>3.0690599999999999</v>
      </c>
      <c r="H39" s="73">
        <v>37</v>
      </c>
      <c r="I39" s="64">
        <f t="shared" si="4"/>
        <v>41</v>
      </c>
      <c r="J39" s="74"/>
      <c r="K39" s="75">
        <f t="shared" si="5"/>
        <v>32800</v>
      </c>
      <c r="L39" s="76">
        <f>Sheet2!AA37</f>
        <v>138507</v>
      </c>
      <c r="M39" s="77">
        <f>Sheet2!AB37</f>
        <v>299157</v>
      </c>
      <c r="N39" s="21">
        <f t="shared" si="1"/>
        <v>4.2227743902439023</v>
      </c>
      <c r="O39" s="69">
        <v>37</v>
      </c>
      <c r="P39" s="64">
        <f t="shared" si="6"/>
        <v>41</v>
      </c>
      <c r="Q39" s="79">
        <f>Sheet2!AG37</f>
        <v>0</v>
      </c>
      <c r="R39" s="75">
        <f t="shared" si="8"/>
        <v>50000</v>
      </c>
      <c r="S39" s="80">
        <f>Sheet2!AJ37</f>
        <v>150590</v>
      </c>
      <c r="T39" s="81">
        <f>Sheet2!AK37</f>
        <v>464168</v>
      </c>
      <c r="U39" s="82">
        <f t="shared" si="9"/>
        <v>3.0118</v>
      </c>
    </row>
    <row r="40" spans="1:21" x14ac:dyDescent="0.25">
      <c r="A40" s="73">
        <v>38</v>
      </c>
      <c r="B40" s="64">
        <f t="shared" si="3"/>
        <v>42</v>
      </c>
      <c r="C40" s="83"/>
      <c r="D40" s="16">
        <f>SUM($C$3:C40)</f>
        <v>50000</v>
      </c>
      <c r="E40" s="76">
        <f>Sheet2!G38</f>
        <v>161330</v>
      </c>
      <c r="F40" s="77">
        <f>Sheet2!H38</f>
        <v>484985</v>
      </c>
      <c r="G40" s="21">
        <f t="shared" si="10"/>
        <v>3.2265999999999999</v>
      </c>
      <c r="H40" s="73">
        <v>38</v>
      </c>
      <c r="I40" s="64">
        <f t="shared" si="4"/>
        <v>42</v>
      </c>
      <c r="J40" s="74"/>
      <c r="K40" s="75">
        <f t="shared" ref="K40:K55" si="11">K39+J40</f>
        <v>32800</v>
      </c>
      <c r="L40" s="76">
        <f>Sheet2!AA38</f>
        <v>145769</v>
      </c>
      <c r="M40" s="77">
        <f>Sheet2!AB38</f>
        <v>309448</v>
      </c>
      <c r="N40" s="21">
        <f t="shared" ref="N40:N55" si="12">L40/K40</f>
        <v>4.4441768292682928</v>
      </c>
      <c r="O40" s="69">
        <v>38</v>
      </c>
      <c r="P40" s="64">
        <f t="shared" si="6"/>
        <v>42</v>
      </c>
      <c r="Q40" s="79">
        <f>Sheet2!AG38</f>
        <v>0</v>
      </c>
      <c r="R40" s="75">
        <f t="shared" si="8"/>
        <v>50000</v>
      </c>
      <c r="S40" s="80">
        <f>Sheet2!AJ38</f>
        <v>158061</v>
      </c>
      <c r="T40" s="81">
        <f>Sheet2!AK38</f>
        <v>475157</v>
      </c>
      <c r="U40" s="82">
        <f t="shared" si="9"/>
        <v>3.1612200000000001</v>
      </c>
    </row>
    <row r="41" spans="1:21" x14ac:dyDescent="0.25">
      <c r="A41" s="73">
        <v>39</v>
      </c>
      <c r="B41" s="64">
        <f t="shared" si="3"/>
        <v>43</v>
      </c>
      <c r="C41" s="83"/>
      <c r="D41" s="16">
        <f>SUM($C$3:C41)</f>
        <v>50000</v>
      </c>
      <c r="E41" s="76">
        <f>Sheet2!G39</f>
        <v>169613</v>
      </c>
      <c r="F41" s="77">
        <f>Sheet2!H39</f>
        <v>497326</v>
      </c>
      <c r="G41" s="21">
        <f t="shared" si="10"/>
        <v>3.3922599999999998</v>
      </c>
      <c r="H41" s="73">
        <v>39</v>
      </c>
      <c r="I41" s="64">
        <f t="shared" si="4"/>
        <v>43</v>
      </c>
      <c r="J41" s="83"/>
      <c r="K41" s="75">
        <f t="shared" si="11"/>
        <v>32800</v>
      </c>
      <c r="L41" s="76">
        <f>Sheet2!AA39</f>
        <v>153406</v>
      </c>
      <c r="M41" s="77">
        <f>Sheet2!AB39</f>
        <v>320103</v>
      </c>
      <c r="N41" s="21">
        <f t="shared" si="12"/>
        <v>4.677012195121951</v>
      </c>
      <c r="O41" s="69">
        <v>39</v>
      </c>
      <c r="P41" s="64">
        <v>39</v>
      </c>
      <c r="Q41" s="79">
        <f>Sheet2!AG39</f>
        <v>0</v>
      </c>
      <c r="R41" s="75">
        <f t="shared" si="8"/>
        <v>50000</v>
      </c>
      <c r="S41" s="80">
        <f>Sheet2!AJ39</f>
        <v>165906</v>
      </c>
      <c r="T41" s="81">
        <f>Sheet2!AK39</f>
        <v>486457</v>
      </c>
      <c r="U41" s="82">
        <f t="shared" si="9"/>
        <v>3.31812</v>
      </c>
    </row>
    <row r="42" spans="1:21" x14ac:dyDescent="0.25">
      <c r="A42" s="73">
        <v>40</v>
      </c>
      <c r="B42" s="64">
        <f t="shared" si="3"/>
        <v>44</v>
      </c>
      <c r="C42" s="83"/>
      <c r="D42" s="16">
        <f>SUM($C$3:C42)</f>
        <v>50000</v>
      </c>
      <c r="E42" s="76">
        <f>Sheet2!G40</f>
        <v>178335</v>
      </c>
      <c r="F42" s="77">
        <f>Sheet2!H40</f>
        <v>509980</v>
      </c>
      <c r="G42" s="21">
        <f t="shared" si="10"/>
        <v>3.5667</v>
      </c>
      <c r="H42" s="73">
        <v>40</v>
      </c>
      <c r="I42" s="64">
        <f t="shared" si="4"/>
        <v>44</v>
      </c>
      <c r="J42" s="83"/>
      <c r="K42" s="75">
        <f t="shared" si="11"/>
        <v>32800</v>
      </c>
      <c r="L42" s="76">
        <f>Sheet2!AA40</f>
        <v>161449</v>
      </c>
      <c r="M42" s="77">
        <f>Sheet2!AB40</f>
        <v>331129</v>
      </c>
      <c r="N42" s="21">
        <f t="shared" si="12"/>
        <v>4.9222256097560972</v>
      </c>
      <c r="O42" s="69">
        <v>40</v>
      </c>
      <c r="P42" s="64">
        <v>40</v>
      </c>
      <c r="Q42" s="79">
        <f>Sheet2!AG40</f>
        <v>0</v>
      </c>
      <c r="R42" s="75">
        <f t="shared" si="8"/>
        <v>50000</v>
      </c>
      <c r="S42" s="80">
        <f>Sheet2!AJ40</f>
        <v>174162</v>
      </c>
      <c r="T42" s="81">
        <f>Sheet2!AK40</f>
        <v>498048</v>
      </c>
      <c r="U42" s="82">
        <f t="shared" si="9"/>
        <v>3.4832399999999999</v>
      </c>
    </row>
    <row r="43" spans="1:21" x14ac:dyDescent="0.25">
      <c r="A43" s="73">
        <v>41</v>
      </c>
      <c r="B43" s="64">
        <f t="shared" si="3"/>
        <v>45</v>
      </c>
      <c r="C43" s="83"/>
      <c r="D43" s="16">
        <f>SUM($C$3:C43)</f>
        <v>50000</v>
      </c>
      <c r="E43" s="76">
        <f>Sheet2!G41</f>
        <v>187511</v>
      </c>
      <c r="F43" s="77">
        <f>Sheet2!H41</f>
        <v>522957</v>
      </c>
      <c r="G43" s="21">
        <f t="shared" si="10"/>
        <v>3.7502200000000001</v>
      </c>
      <c r="H43" s="73">
        <v>41</v>
      </c>
      <c r="I43" s="64">
        <f t="shared" si="4"/>
        <v>45</v>
      </c>
      <c r="J43" s="83"/>
      <c r="K43" s="75">
        <f t="shared" si="11"/>
        <v>32800</v>
      </c>
      <c r="L43" s="76">
        <f>Sheet2!AA41</f>
        <v>169913</v>
      </c>
      <c r="M43" s="77">
        <f>Sheet2!AB41</f>
        <v>342532</v>
      </c>
      <c r="N43" s="21">
        <f t="shared" si="12"/>
        <v>5.1802743902439028</v>
      </c>
      <c r="O43" s="69">
        <v>41</v>
      </c>
      <c r="P43" s="64">
        <v>41</v>
      </c>
      <c r="Q43" s="79">
        <f>Sheet2!AG41</f>
        <v>0</v>
      </c>
      <c r="R43" s="75">
        <f t="shared" si="8"/>
        <v>50000</v>
      </c>
      <c r="S43" s="80">
        <f>Sheet2!AJ41</f>
        <v>182836</v>
      </c>
      <c r="T43" s="81">
        <f>Sheet2!AK41</f>
        <v>509916</v>
      </c>
      <c r="U43" s="82">
        <f t="shared" si="9"/>
        <v>3.65672</v>
      </c>
    </row>
    <row r="44" spans="1:21" x14ac:dyDescent="0.25">
      <c r="A44" s="73">
        <v>42</v>
      </c>
      <c r="B44" s="64">
        <f t="shared" si="3"/>
        <v>46</v>
      </c>
      <c r="C44" s="83"/>
      <c r="D44" s="16">
        <f>SUM($C$3:C44)</f>
        <v>50000</v>
      </c>
      <c r="E44" s="76">
        <f>Sheet2!G42</f>
        <v>197172</v>
      </c>
      <c r="F44" s="77">
        <f>Sheet2!H42</f>
        <v>536274</v>
      </c>
      <c r="G44" s="21">
        <f t="shared" si="10"/>
        <v>3.9434399999999998</v>
      </c>
      <c r="H44" s="73">
        <v>42</v>
      </c>
      <c r="I44" s="64">
        <f t="shared" si="4"/>
        <v>46</v>
      </c>
      <c r="J44" s="83"/>
      <c r="K44" s="75">
        <f t="shared" si="11"/>
        <v>32800</v>
      </c>
      <c r="L44" s="76">
        <f>Sheet2!AA42</f>
        <v>178830</v>
      </c>
      <c r="M44" s="77">
        <f>Sheet2!AB42</f>
        <v>354336</v>
      </c>
      <c r="N44" s="21">
        <f t="shared" si="12"/>
        <v>5.4521341463414634</v>
      </c>
      <c r="O44" s="69">
        <v>42</v>
      </c>
      <c r="P44" s="64">
        <v>42</v>
      </c>
      <c r="Q44" s="79">
        <f>Sheet2!AG42</f>
        <v>0</v>
      </c>
      <c r="R44" s="75">
        <f t="shared" si="8"/>
        <v>50000</v>
      </c>
      <c r="S44" s="80">
        <f>Sheet2!AJ42</f>
        <v>191958</v>
      </c>
      <c r="T44" s="81">
        <f>Sheet2!AK42</f>
        <v>522094</v>
      </c>
      <c r="U44" s="82">
        <f t="shared" si="9"/>
        <v>3.8391600000000001</v>
      </c>
    </row>
    <row r="45" spans="1:21" x14ac:dyDescent="0.25">
      <c r="A45" s="73">
        <v>43</v>
      </c>
      <c r="B45" s="64">
        <f t="shared" si="3"/>
        <v>47</v>
      </c>
      <c r="C45" s="83"/>
      <c r="D45" s="16">
        <f>SUM($C$3:C45)</f>
        <v>50000</v>
      </c>
      <c r="E45" s="76">
        <f>Sheet2!G43</f>
        <v>207335</v>
      </c>
      <c r="F45" s="77">
        <f>Sheet2!H43</f>
        <v>549901</v>
      </c>
      <c r="G45" s="21">
        <f t="shared" si="10"/>
        <v>4.1467000000000001</v>
      </c>
      <c r="H45" s="73">
        <v>43</v>
      </c>
      <c r="I45" s="64">
        <f t="shared" si="4"/>
        <v>47</v>
      </c>
      <c r="J45" s="83"/>
      <c r="K45" s="75">
        <f t="shared" si="11"/>
        <v>32800</v>
      </c>
      <c r="L45" s="76">
        <f>Sheet2!AA43</f>
        <v>188218</v>
      </c>
      <c r="M45" s="77">
        <f>Sheet2!AB43</f>
        <v>366547</v>
      </c>
      <c r="N45" s="21">
        <f t="shared" si="12"/>
        <v>5.7383536585365853</v>
      </c>
      <c r="O45" s="69">
        <v>43</v>
      </c>
      <c r="P45" s="64">
        <v>43</v>
      </c>
      <c r="Q45" s="79">
        <f>Sheet2!AG43</f>
        <v>0</v>
      </c>
      <c r="R45" s="75">
        <f t="shared" si="8"/>
        <v>50000</v>
      </c>
      <c r="S45" s="80">
        <f>Sheet2!AJ43</f>
        <v>201550</v>
      </c>
      <c r="T45" s="81">
        <f>Sheet2!AK43</f>
        <v>534560</v>
      </c>
      <c r="U45" s="82">
        <f t="shared" si="9"/>
        <v>4.0309999999999997</v>
      </c>
    </row>
    <row r="46" spans="1:21" x14ac:dyDescent="0.25">
      <c r="A46" s="73">
        <v>44</v>
      </c>
      <c r="B46" s="64">
        <f t="shared" si="3"/>
        <v>48</v>
      </c>
      <c r="C46" s="83"/>
      <c r="D46" s="16">
        <f>SUM($C$3:C46)</f>
        <v>50000</v>
      </c>
      <c r="E46" s="76">
        <f>Sheet2!G44</f>
        <v>218028</v>
      </c>
      <c r="F46" s="77">
        <f>Sheet2!H44</f>
        <v>563860</v>
      </c>
      <c r="G46" s="21">
        <f t="shared" si="10"/>
        <v>4.3605600000000004</v>
      </c>
      <c r="H46" s="73">
        <v>44</v>
      </c>
      <c r="I46" s="64">
        <f t="shared" si="4"/>
        <v>48</v>
      </c>
      <c r="J46" s="83"/>
      <c r="K46" s="75">
        <f t="shared" si="11"/>
        <v>32800</v>
      </c>
      <c r="L46" s="76">
        <f>Sheet2!AA44</f>
        <v>198102</v>
      </c>
      <c r="M46" s="77">
        <f>Sheet2!AB44</f>
        <v>379171</v>
      </c>
      <c r="N46" s="21">
        <f t="shared" si="12"/>
        <v>6.0396951219512198</v>
      </c>
      <c r="O46" s="69">
        <v>44</v>
      </c>
      <c r="P46" s="64">
        <v>44</v>
      </c>
      <c r="Q46" s="79">
        <f>Sheet2!AG44</f>
        <v>0</v>
      </c>
      <c r="R46" s="75">
        <f t="shared" si="8"/>
        <v>50000</v>
      </c>
      <c r="S46" s="80">
        <f>Sheet2!AJ44</f>
        <v>211637</v>
      </c>
      <c r="T46" s="81">
        <f>Sheet2!AK44</f>
        <v>547333</v>
      </c>
      <c r="U46" s="82">
        <f t="shared" si="9"/>
        <v>4.2327399999999997</v>
      </c>
    </row>
    <row r="47" spans="1:21" x14ac:dyDescent="0.25">
      <c r="A47" s="73">
        <v>45</v>
      </c>
      <c r="B47" s="64">
        <f t="shared" si="3"/>
        <v>49</v>
      </c>
      <c r="C47" s="83"/>
      <c r="D47" s="16">
        <f>SUM($C$3:C47)</f>
        <v>50000</v>
      </c>
      <c r="E47" s="76">
        <f>Sheet2!G45</f>
        <v>229285</v>
      </c>
      <c r="F47" s="77">
        <f>Sheet2!H45</f>
        <v>578170</v>
      </c>
      <c r="G47" s="21">
        <f t="shared" si="10"/>
        <v>4.5857000000000001</v>
      </c>
      <c r="H47" s="73">
        <v>45</v>
      </c>
      <c r="I47" s="64">
        <f t="shared" si="4"/>
        <v>49</v>
      </c>
      <c r="J47" s="83"/>
      <c r="K47" s="75">
        <f t="shared" si="11"/>
        <v>32800</v>
      </c>
      <c r="L47" s="76">
        <f>Sheet2!AA45</f>
        <v>208508</v>
      </c>
      <c r="M47" s="77">
        <f>Sheet2!AB45</f>
        <v>392227</v>
      </c>
      <c r="N47" s="21">
        <f t="shared" si="12"/>
        <v>6.3569512195121956</v>
      </c>
      <c r="O47" s="69">
        <v>45</v>
      </c>
      <c r="P47" s="64">
        <v>45</v>
      </c>
      <c r="Q47" s="79">
        <f>Sheet2!AG45</f>
        <v>0</v>
      </c>
      <c r="R47" s="75">
        <f t="shared" si="8"/>
        <v>50000</v>
      </c>
      <c r="S47" s="80">
        <f>Sheet2!AJ45</f>
        <v>222248</v>
      </c>
      <c r="T47" s="81">
        <f>Sheet2!AK45</f>
        <v>560425</v>
      </c>
      <c r="U47" s="82">
        <f t="shared" si="9"/>
        <v>4.44496</v>
      </c>
    </row>
    <row r="48" spans="1:21" x14ac:dyDescent="0.25">
      <c r="A48" s="73">
        <v>46</v>
      </c>
      <c r="B48" s="64">
        <f t="shared" si="3"/>
        <v>50</v>
      </c>
      <c r="C48" s="83"/>
      <c r="D48" s="16">
        <f>SUM($C$3:C48)</f>
        <v>50000</v>
      </c>
      <c r="E48" s="76">
        <f>Sheet2!G46</f>
        <v>241127</v>
      </c>
      <c r="F48" s="77">
        <f>Sheet2!H46</f>
        <v>592799</v>
      </c>
      <c r="G48" s="21">
        <f t="shared" si="10"/>
        <v>4.82254</v>
      </c>
      <c r="H48" s="73">
        <v>46</v>
      </c>
      <c r="I48" s="64">
        <f t="shared" si="4"/>
        <v>50</v>
      </c>
      <c r="J48" s="83"/>
      <c r="K48" s="75">
        <f t="shared" si="11"/>
        <v>32800</v>
      </c>
      <c r="L48" s="76">
        <f>Sheet2!AA46</f>
        <v>219456</v>
      </c>
      <c r="M48" s="77">
        <f>Sheet2!AB46</f>
        <v>405717</v>
      </c>
      <c r="N48" s="21">
        <f t="shared" si="12"/>
        <v>6.6907317073170729</v>
      </c>
      <c r="O48" s="69">
        <v>46</v>
      </c>
      <c r="P48" s="64">
        <v>46</v>
      </c>
      <c r="Q48" s="79">
        <f>Sheet2!AG46</f>
        <v>0</v>
      </c>
      <c r="R48" s="75">
        <f t="shared" si="8"/>
        <v>50000</v>
      </c>
      <c r="S48" s="80">
        <f>Sheet2!AJ46</f>
        <v>233402</v>
      </c>
      <c r="T48" s="81">
        <f>Sheet2!AK46</f>
        <v>573808</v>
      </c>
      <c r="U48" s="82">
        <f t="shared" si="9"/>
        <v>4.6680400000000004</v>
      </c>
    </row>
    <row r="49" spans="1:21" x14ac:dyDescent="0.25">
      <c r="A49" s="73">
        <v>47</v>
      </c>
      <c r="B49" s="64">
        <f t="shared" si="3"/>
        <v>51</v>
      </c>
      <c r="C49" s="83"/>
      <c r="D49" s="16">
        <f>SUM($C$3:C49)</f>
        <v>50000</v>
      </c>
      <c r="E49" s="76">
        <f>Sheet2!G47</f>
        <v>253576</v>
      </c>
      <c r="F49" s="77">
        <f>Sheet2!H47</f>
        <v>607791</v>
      </c>
      <c r="G49" s="21">
        <f t="shared" si="10"/>
        <v>5.0715199999999996</v>
      </c>
      <c r="H49" s="73">
        <v>47</v>
      </c>
      <c r="I49" s="64">
        <f t="shared" si="4"/>
        <v>51</v>
      </c>
      <c r="J49" s="83"/>
      <c r="K49" s="75">
        <f t="shared" si="11"/>
        <v>32800</v>
      </c>
      <c r="L49" s="76">
        <f>Sheet2!AA47</f>
        <v>230984</v>
      </c>
      <c r="M49" s="77">
        <f>Sheet2!AB47</f>
        <v>419680</v>
      </c>
      <c r="N49" s="21">
        <f t="shared" si="12"/>
        <v>7.0421951219512193</v>
      </c>
      <c r="O49" s="69">
        <v>47</v>
      </c>
      <c r="P49" s="64">
        <v>47</v>
      </c>
      <c r="Q49" s="79">
        <f>Sheet2!AG47</f>
        <v>0</v>
      </c>
      <c r="R49" s="75">
        <f t="shared" si="8"/>
        <v>50000</v>
      </c>
      <c r="S49" s="80">
        <f>Sheet2!AJ47</f>
        <v>245123</v>
      </c>
      <c r="T49" s="81">
        <f>Sheet2!AK47</f>
        <v>587529</v>
      </c>
      <c r="U49" s="82">
        <f t="shared" si="9"/>
        <v>4.9024599999999996</v>
      </c>
    </row>
    <row r="50" spans="1:21" x14ac:dyDescent="0.25">
      <c r="A50" s="73">
        <v>48</v>
      </c>
      <c r="B50" s="64">
        <f t="shared" si="3"/>
        <v>52</v>
      </c>
      <c r="C50" s="83"/>
      <c r="D50" s="16">
        <f>SUM($C$3:C50)</f>
        <v>50000</v>
      </c>
      <c r="E50" s="76">
        <f>Sheet2!G48</f>
        <v>266664</v>
      </c>
      <c r="F50" s="77">
        <f>Sheet2!H48</f>
        <v>623163</v>
      </c>
      <c r="G50" s="21">
        <f t="shared" si="10"/>
        <v>5.3332800000000002</v>
      </c>
      <c r="H50" s="73">
        <v>48</v>
      </c>
      <c r="I50" s="64">
        <f t="shared" si="4"/>
        <v>52</v>
      </c>
      <c r="J50" s="83"/>
      <c r="K50" s="75">
        <f t="shared" si="11"/>
        <v>32800</v>
      </c>
      <c r="L50" s="76">
        <f>Sheet2!AA48</f>
        <v>243108</v>
      </c>
      <c r="M50" s="77">
        <f>Sheet2!AB48</f>
        <v>434121</v>
      </c>
      <c r="N50" s="21">
        <f t="shared" si="12"/>
        <v>7.4118292682926832</v>
      </c>
      <c r="O50" s="69">
        <v>48</v>
      </c>
      <c r="P50" s="64">
        <v>48</v>
      </c>
      <c r="Q50" s="79">
        <f>Sheet2!AG48</f>
        <v>0</v>
      </c>
      <c r="R50" s="75">
        <f t="shared" si="8"/>
        <v>50000</v>
      </c>
      <c r="S50" s="80">
        <f>Sheet2!AJ48</f>
        <v>257434</v>
      </c>
      <c r="T50" s="81">
        <f>Sheet2!AK48</f>
        <v>601594</v>
      </c>
      <c r="U50" s="82">
        <f t="shared" si="9"/>
        <v>5.1486799999999997</v>
      </c>
    </row>
    <row r="51" spans="1:21" x14ac:dyDescent="0.25">
      <c r="A51" s="73">
        <v>49</v>
      </c>
      <c r="B51" s="64">
        <f t="shared" si="3"/>
        <v>53</v>
      </c>
      <c r="C51" s="83"/>
      <c r="D51" s="16">
        <f>SUM($C$3:C51)</f>
        <v>50000</v>
      </c>
      <c r="E51" s="76">
        <f>Sheet2!G49</f>
        <v>280401</v>
      </c>
      <c r="F51" s="77">
        <f>Sheet2!H49</f>
        <v>638917</v>
      </c>
      <c r="G51" s="21">
        <f t="shared" si="10"/>
        <v>5.6080199999999998</v>
      </c>
      <c r="H51" s="73">
        <v>49</v>
      </c>
      <c r="I51" s="64">
        <f t="shared" si="4"/>
        <v>53</v>
      </c>
      <c r="J51" s="83"/>
      <c r="K51" s="75">
        <f t="shared" si="11"/>
        <v>32800</v>
      </c>
      <c r="L51" s="76">
        <f>Sheet2!AA49</f>
        <v>255853</v>
      </c>
      <c r="M51" s="77">
        <f>Sheet2!AB49</f>
        <v>449061</v>
      </c>
      <c r="N51" s="21">
        <f t="shared" si="12"/>
        <v>7.800396341463415</v>
      </c>
      <c r="O51" s="69">
        <v>49</v>
      </c>
      <c r="P51" s="64">
        <v>49</v>
      </c>
      <c r="Q51" s="79">
        <f>Sheet2!AG49</f>
        <v>0</v>
      </c>
      <c r="R51" s="75">
        <f t="shared" si="8"/>
        <v>50000</v>
      </c>
      <c r="S51" s="80">
        <f>Sheet2!AJ49</f>
        <v>270346</v>
      </c>
      <c r="T51" s="81">
        <f>Sheet2!AK49</f>
        <v>616004</v>
      </c>
      <c r="U51" s="82">
        <f t="shared" si="9"/>
        <v>5.4069200000000004</v>
      </c>
    </row>
    <row r="52" spans="1:21" x14ac:dyDescent="0.25">
      <c r="A52" s="73">
        <v>50</v>
      </c>
      <c r="B52" s="64">
        <f t="shared" si="3"/>
        <v>54</v>
      </c>
      <c r="C52" s="83"/>
      <c r="D52" s="16">
        <f>SUM($C$3:C52)</f>
        <v>50000</v>
      </c>
      <c r="E52" s="76">
        <f>Sheet2!G50</f>
        <v>294811</v>
      </c>
      <c r="F52" s="77">
        <f>Sheet2!H50</f>
        <v>655062</v>
      </c>
      <c r="G52" s="21">
        <f t="shared" si="10"/>
        <v>5.8962199999999996</v>
      </c>
      <c r="H52" s="73">
        <v>50</v>
      </c>
      <c r="I52" s="64">
        <f t="shared" si="4"/>
        <v>54</v>
      </c>
      <c r="J52" s="83"/>
      <c r="K52" s="75">
        <f t="shared" si="11"/>
        <v>32800</v>
      </c>
      <c r="L52" s="76">
        <f>Sheet2!AA50</f>
        <v>269251</v>
      </c>
      <c r="M52" s="77">
        <f>Sheet2!AB50</f>
        <v>464515</v>
      </c>
      <c r="N52" s="21">
        <f t="shared" si="12"/>
        <v>8.2088719512195123</v>
      </c>
      <c r="O52" s="69">
        <v>50</v>
      </c>
      <c r="P52" s="64">
        <v>50</v>
      </c>
      <c r="Q52" s="79">
        <f>Sheet2!AG50</f>
        <v>0</v>
      </c>
      <c r="R52" s="75">
        <f t="shared" si="8"/>
        <v>50000</v>
      </c>
      <c r="S52" s="80">
        <f>Sheet2!AJ50</f>
        <v>283880</v>
      </c>
      <c r="T52" s="81">
        <f>Sheet2!AK50</f>
        <v>630774</v>
      </c>
      <c r="U52" s="82">
        <f t="shared" si="9"/>
        <v>5.6776</v>
      </c>
    </row>
    <row r="53" spans="1:21" x14ac:dyDescent="0.25">
      <c r="A53" s="73">
        <v>51</v>
      </c>
      <c r="B53" s="64">
        <f t="shared" si="3"/>
        <v>55</v>
      </c>
      <c r="C53" s="83"/>
      <c r="D53" s="16">
        <f>SUM($C$3:C53)</f>
        <v>50000</v>
      </c>
      <c r="E53" s="76">
        <f>Sheet2!G51</f>
        <v>309937</v>
      </c>
      <c r="F53" s="77">
        <f>Sheet2!H51</f>
        <v>671615</v>
      </c>
      <c r="G53" s="21">
        <f t="shared" si="10"/>
        <v>6.1987399999999999</v>
      </c>
      <c r="H53" s="73">
        <v>51</v>
      </c>
      <c r="I53" s="64">
        <f t="shared" si="4"/>
        <v>55</v>
      </c>
      <c r="J53" s="83"/>
      <c r="K53" s="75">
        <f t="shared" si="11"/>
        <v>32800</v>
      </c>
      <c r="L53" s="76">
        <f>Sheet2!AA51</f>
        <v>283338</v>
      </c>
      <c r="M53" s="77">
        <f>Sheet2!AB51</f>
        <v>480511</v>
      </c>
      <c r="N53" s="21">
        <f t="shared" si="12"/>
        <v>8.6383536585365857</v>
      </c>
      <c r="O53" s="69">
        <v>51</v>
      </c>
      <c r="P53" s="64">
        <v>51</v>
      </c>
      <c r="Q53" s="79">
        <f>Sheet2!AG51</f>
        <v>0</v>
      </c>
      <c r="R53" s="75">
        <f t="shared" si="8"/>
        <v>50000</v>
      </c>
      <c r="S53" s="80">
        <f>Sheet2!AJ51</f>
        <v>298081</v>
      </c>
      <c r="T53" s="81">
        <f>Sheet2!AK51</f>
        <v>645924</v>
      </c>
      <c r="U53" s="82">
        <f t="shared" si="9"/>
        <v>5.9616199999999999</v>
      </c>
    </row>
    <row r="54" spans="1:21" x14ac:dyDescent="0.25">
      <c r="A54" s="73">
        <v>52</v>
      </c>
      <c r="B54" s="64">
        <f t="shared" si="3"/>
        <v>56</v>
      </c>
      <c r="C54" s="83"/>
      <c r="D54" s="16">
        <f>SUM($C$3:C54)</f>
        <v>50000</v>
      </c>
      <c r="E54" s="76">
        <f>Sheet2!G52</f>
        <v>325815</v>
      </c>
      <c r="F54" s="77">
        <f>Sheet2!H52</f>
        <v>688638</v>
      </c>
      <c r="G54" s="21">
        <f t="shared" si="10"/>
        <v>6.5163000000000002</v>
      </c>
      <c r="H54" s="73">
        <v>52</v>
      </c>
      <c r="I54" s="64">
        <f t="shared" si="4"/>
        <v>56</v>
      </c>
      <c r="J54" s="83"/>
      <c r="K54" s="75">
        <f t="shared" si="11"/>
        <v>32800</v>
      </c>
      <c r="L54" s="76">
        <f>Sheet2!AA52</f>
        <v>298145</v>
      </c>
      <c r="M54" s="77">
        <f>Sheet2!AB52</f>
        <v>497082</v>
      </c>
      <c r="N54" s="21">
        <f t="shared" si="12"/>
        <v>9.0897865853658537</v>
      </c>
      <c r="O54" s="69">
        <v>52</v>
      </c>
      <c r="P54" s="64">
        <v>52</v>
      </c>
      <c r="Q54" s="79">
        <f>Sheet2!AG52</f>
        <v>0</v>
      </c>
      <c r="R54" s="75">
        <f t="shared" si="8"/>
        <v>50000</v>
      </c>
      <c r="S54" s="80">
        <f>Sheet2!AJ52</f>
        <v>312978</v>
      </c>
      <c r="T54" s="81">
        <f>Sheet2!AK52</f>
        <v>661506</v>
      </c>
      <c r="U54" s="82">
        <f t="shared" si="9"/>
        <v>6.2595599999999996</v>
      </c>
    </row>
    <row r="55" spans="1:21" x14ac:dyDescent="0.25">
      <c r="A55" s="73">
        <v>53</v>
      </c>
      <c r="B55" s="64">
        <f t="shared" si="3"/>
        <v>57</v>
      </c>
      <c r="C55" s="83"/>
      <c r="D55" s="16">
        <f>SUM($C$3:C55)</f>
        <v>50000</v>
      </c>
      <c r="E55" s="76">
        <f>Sheet2!G53</f>
        <v>342497</v>
      </c>
      <c r="F55" s="77">
        <f>Sheet2!H53</f>
        <v>706179</v>
      </c>
      <c r="G55" s="21">
        <f t="shared" si="10"/>
        <v>6.8499400000000001</v>
      </c>
      <c r="H55" s="73">
        <v>53</v>
      </c>
      <c r="I55" s="64">
        <f t="shared" si="4"/>
        <v>57</v>
      </c>
      <c r="J55" s="83"/>
      <c r="K55" s="75">
        <f t="shared" si="11"/>
        <v>32800</v>
      </c>
      <c r="L55" s="76">
        <f>Sheet2!AA53</f>
        <v>313715</v>
      </c>
      <c r="M55" s="77">
        <f>Sheet2!AB53</f>
        <v>514261</v>
      </c>
      <c r="N55" s="21">
        <f t="shared" si="12"/>
        <v>9.5644817073170731</v>
      </c>
      <c r="O55" s="69">
        <v>53</v>
      </c>
      <c r="P55" s="64">
        <v>53</v>
      </c>
      <c r="Q55" s="79">
        <f>Sheet2!AG53</f>
        <v>0</v>
      </c>
      <c r="R55" s="75">
        <f t="shared" si="8"/>
        <v>50000</v>
      </c>
      <c r="S55" s="80">
        <f>Sheet2!AJ53</f>
        <v>328615</v>
      </c>
      <c r="T55" s="81">
        <f>Sheet2!AK53</f>
        <v>677557</v>
      </c>
      <c r="U55" s="82">
        <f t="shared" si="9"/>
        <v>6.5723000000000003</v>
      </c>
    </row>
  </sheetData>
  <mergeCells count="3">
    <mergeCell ref="A1:G1"/>
    <mergeCell ref="H1:N1"/>
    <mergeCell ref="O1:U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66F12-CA9F-40AF-B7D3-F53E3BF5F2A6}">
  <dimension ref="A1:Y55"/>
  <sheetViews>
    <sheetView topLeftCell="O1" zoomScale="115" zoomScaleNormal="115" workbookViewId="0">
      <selection activeCell="W9" sqref="W9"/>
    </sheetView>
  </sheetViews>
  <sheetFormatPr defaultColWidth="9.140625" defaultRowHeight="15.75" x14ac:dyDescent="0.25"/>
  <cols>
    <col min="1" max="1" width="3.5703125" style="7" hidden="1" customWidth="1"/>
    <col min="2" max="2" width="4.7109375" style="7" hidden="1" customWidth="1"/>
    <col min="3" max="3" width="11.28515625" style="32" hidden="1" customWidth="1"/>
    <col min="4" max="4" width="12.7109375" style="32" hidden="1" customWidth="1"/>
    <col min="5" max="5" width="11.7109375" style="33" hidden="1" customWidth="1"/>
    <col min="6" max="6" width="11.7109375" style="34" hidden="1" customWidth="1"/>
    <col min="7" max="7" width="8.140625" style="35" hidden="1" customWidth="1"/>
    <col min="8" max="8" width="3.5703125" style="36" hidden="1" customWidth="1"/>
    <col min="9" max="9" width="4.7109375" style="7" hidden="1" customWidth="1"/>
    <col min="10" max="10" width="11" style="7" hidden="1" customWidth="1"/>
    <col min="11" max="11" width="8.7109375" style="7" hidden="1" customWidth="1"/>
    <col min="12" max="13" width="11" style="7" hidden="1" customWidth="1"/>
    <col min="14" max="14" width="10.42578125" style="37" hidden="1" customWidth="1"/>
    <col min="15" max="15" width="3.5703125" style="36" customWidth="1"/>
    <col min="16" max="16" width="4.7109375" style="7" bestFit="1" customWidth="1"/>
    <col min="17" max="17" width="11" style="7" customWidth="1"/>
    <col min="18" max="18" width="11.28515625" style="7" bestFit="1" customWidth="1"/>
    <col min="19" max="20" width="11" style="7" bestFit="1" customWidth="1"/>
    <col min="21" max="21" width="10.42578125" style="37" bestFit="1" customWidth="1"/>
    <col min="22" max="16384" width="9.140625" style="7"/>
  </cols>
  <sheetData>
    <row r="1" spans="1:25" ht="41.25" customHeight="1" x14ac:dyDescent="0.25">
      <c r="A1" s="46" t="s">
        <v>7</v>
      </c>
      <c r="B1" s="47"/>
      <c r="C1" s="47"/>
      <c r="D1" s="47"/>
      <c r="E1" s="47"/>
      <c r="F1" s="47"/>
      <c r="G1" s="48"/>
      <c r="H1" s="52" t="s">
        <v>10</v>
      </c>
      <c r="I1" s="53"/>
      <c r="J1" s="53"/>
      <c r="K1" s="53"/>
      <c r="L1" s="53"/>
      <c r="M1" s="53"/>
      <c r="N1" s="54"/>
      <c r="O1" s="49" t="s">
        <v>9</v>
      </c>
      <c r="P1" s="50"/>
      <c r="Q1" s="50"/>
      <c r="R1" s="50"/>
      <c r="S1" s="50"/>
      <c r="T1" s="50"/>
      <c r="U1" s="51"/>
    </row>
    <row r="2" spans="1:25" ht="45" x14ac:dyDescent="0.25">
      <c r="A2" s="8" t="s">
        <v>0</v>
      </c>
      <c r="B2" s="9" t="s">
        <v>1</v>
      </c>
      <c r="C2" s="10" t="s">
        <v>2</v>
      </c>
      <c r="D2" s="10" t="s">
        <v>3</v>
      </c>
      <c r="E2" s="11" t="s">
        <v>4</v>
      </c>
      <c r="F2" s="12" t="s">
        <v>5</v>
      </c>
      <c r="G2" s="13" t="s">
        <v>6</v>
      </c>
      <c r="H2" s="8" t="s">
        <v>0</v>
      </c>
      <c r="I2" s="9" t="s">
        <v>1</v>
      </c>
      <c r="J2" s="10" t="s">
        <v>2</v>
      </c>
      <c r="K2" s="10" t="s">
        <v>3</v>
      </c>
      <c r="L2" s="11" t="s">
        <v>4</v>
      </c>
      <c r="M2" s="12" t="s">
        <v>5</v>
      </c>
      <c r="N2" s="14" t="s">
        <v>6</v>
      </c>
      <c r="O2" s="8" t="s">
        <v>0</v>
      </c>
      <c r="P2" s="9" t="s">
        <v>1</v>
      </c>
      <c r="Q2" s="10" t="s">
        <v>2</v>
      </c>
      <c r="R2" s="10" t="s">
        <v>3</v>
      </c>
      <c r="S2" s="11" t="s">
        <v>4</v>
      </c>
      <c r="T2" s="12" t="s">
        <v>5</v>
      </c>
      <c r="U2" s="14" t="s">
        <v>6</v>
      </c>
    </row>
    <row r="3" spans="1:25" x14ac:dyDescent="0.25">
      <c r="A3" s="17">
        <v>1</v>
      </c>
      <c r="B3" s="15">
        <v>5</v>
      </c>
      <c r="C3" s="18">
        <f>Sheet4!D1</f>
        <v>5000</v>
      </c>
      <c r="D3" s="16">
        <f>C3</f>
        <v>5000</v>
      </c>
      <c r="E3" s="19">
        <f>Sheet4!G1</f>
        <v>1849</v>
      </c>
      <c r="F3" s="20">
        <f>Sheet4!H1</f>
        <v>156927</v>
      </c>
      <c r="G3" s="42">
        <f>E3/D3</f>
        <v>0.36980000000000002</v>
      </c>
      <c r="H3" s="24">
        <v>1</v>
      </c>
      <c r="I3" s="15">
        <v>44</v>
      </c>
      <c r="J3" s="25" t="e">
        <f>'Table 1'!#REF!</f>
        <v>#REF!</v>
      </c>
      <c r="K3" s="22" t="e">
        <f>J3</f>
        <v>#REF!</v>
      </c>
      <c r="L3" s="26" t="e">
        <f>'Table 1'!#REF!</f>
        <v>#REF!</v>
      </c>
      <c r="M3" s="27" t="e">
        <f>'Table 1'!#REF!</f>
        <v>#REF!</v>
      </c>
      <c r="N3" s="28" t="e">
        <f>L3/K3</f>
        <v>#REF!</v>
      </c>
      <c r="O3" s="24">
        <v>1</v>
      </c>
      <c r="P3" s="15">
        <v>5</v>
      </c>
      <c r="Q3" s="25">
        <v>5000</v>
      </c>
      <c r="R3" s="22">
        <v>5000</v>
      </c>
      <c r="S3" s="26">
        <v>2628</v>
      </c>
      <c r="T3" s="27">
        <v>406976</v>
      </c>
      <c r="U3" s="45">
        <v>0.52559999999999996</v>
      </c>
    </row>
    <row r="4" spans="1:25" x14ac:dyDescent="0.25">
      <c r="A4" s="29">
        <v>2</v>
      </c>
      <c r="B4" s="15">
        <f>B3+1</f>
        <v>6</v>
      </c>
      <c r="C4" s="18">
        <f>Sheet4!D2</f>
        <v>5000</v>
      </c>
      <c r="D4" s="16">
        <f>D3+C4</f>
        <v>10000</v>
      </c>
      <c r="E4" s="19">
        <f>Sheet4!G2</f>
        <v>5100</v>
      </c>
      <c r="F4" s="20">
        <f>Sheet4!H2</f>
        <v>158052</v>
      </c>
      <c r="G4" s="21">
        <f t="shared" ref="G4:G55" si="0">E4/D4</f>
        <v>0.51</v>
      </c>
      <c r="H4" s="24">
        <v>2</v>
      </c>
      <c r="I4" s="15">
        <f>I3+1</f>
        <v>45</v>
      </c>
      <c r="J4" s="25" t="e">
        <f>'Table 1'!#REF!</f>
        <v>#REF!</v>
      </c>
      <c r="K4" s="22" t="e">
        <f>K3+J4</f>
        <v>#REF!</v>
      </c>
      <c r="L4" s="26" t="e">
        <f>'Table 1'!#REF!</f>
        <v>#REF!</v>
      </c>
      <c r="M4" s="27" t="e">
        <f>'Table 1'!#REF!</f>
        <v>#REF!</v>
      </c>
      <c r="N4" s="28" t="e">
        <f t="shared" ref="N4:N55" si="1">L4/K4</f>
        <v>#REF!</v>
      </c>
      <c r="O4" s="24">
        <v>2</v>
      </c>
      <c r="P4" s="15">
        <f>P3+1</f>
        <v>6</v>
      </c>
      <c r="Q4" s="25">
        <v>5000</v>
      </c>
      <c r="R4" s="22">
        <v>10000</v>
      </c>
      <c r="S4" s="26">
        <v>5762</v>
      </c>
      <c r="T4" s="27">
        <v>428178</v>
      </c>
      <c r="U4" s="28">
        <v>0.57620000000000005</v>
      </c>
    </row>
    <row r="5" spans="1:25" x14ac:dyDescent="0.25">
      <c r="A5" s="29">
        <v>3</v>
      </c>
      <c r="B5" s="15">
        <f t="shared" ref="B5:B55" si="2">B4+1</f>
        <v>7</v>
      </c>
      <c r="C5" s="18">
        <f>Sheet4!D3</f>
        <v>5000</v>
      </c>
      <c r="D5" s="16">
        <f t="shared" ref="D5:D55" si="3">D4+C5</f>
        <v>15000</v>
      </c>
      <c r="E5" s="19">
        <f>Sheet4!G3</f>
        <v>10153</v>
      </c>
      <c r="F5" s="20">
        <f>Sheet4!H3</f>
        <v>159691</v>
      </c>
      <c r="G5" s="21">
        <f t="shared" si="0"/>
        <v>0.67686666666666662</v>
      </c>
      <c r="H5" s="24">
        <v>3</v>
      </c>
      <c r="I5" s="15">
        <f>I4+1</f>
        <v>46</v>
      </c>
      <c r="J5" s="25" t="e">
        <f>'Table 1'!#REF!</f>
        <v>#REF!</v>
      </c>
      <c r="K5" s="22" t="e">
        <f t="shared" ref="K5:K55" si="4">K4+J5</f>
        <v>#REF!</v>
      </c>
      <c r="L5" s="26" t="e">
        <f>'Table 1'!#REF!</f>
        <v>#REF!</v>
      </c>
      <c r="M5" s="27" t="e">
        <f>'Table 1'!#REF!</f>
        <v>#REF!</v>
      </c>
      <c r="N5" s="28" t="e">
        <f t="shared" si="1"/>
        <v>#REF!</v>
      </c>
      <c r="O5" s="24">
        <v>3</v>
      </c>
      <c r="P5" s="15">
        <f t="shared" ref="P5:P40" si="5">P4+1</f>
        <v>7</v>
      </c>
      <c r="Q5" s="25">
        <v>5000</v>
      </c>
      <c r="R5" s="22">
        <v>15000</v>
      </c>
      <c r="S5" s="26">
        <v>10520</v>
      </c>
      <c r="T5" s="27">
        <v>449399</v>
      </c>
      <c r="U5" s="28">
        <v>0.70133333333333336</v>
      </c>
    </row>
    <row r="6" spans="1:25" x14ac:dyDescent="0.25">
      <c r="A6" s="29">
        <v>4</v>
      </c>
      <c r="B6" s="15">
        <f t="shared" si="2"/>
        <v>8</v>
      </c>
      <c r="C6" s="18">
        <f>Sheet4!D4</f>
        <v>5000</v>
      </c>
      <c r="D6" s="16">
        <f t="shared" si="3"/>
        <v>20000</v>
      </c>
      <c r="E6" s="19">
        <f>Sheet4!G4</f>
        <v>15446</v>
      </c>
      <c r="F6" s="20">
        <f>Sheet4!H4</f>
        <v>161853</v>
      </c>
      <c r="G6" s="21">
        <f t="shared" si="0"/>
        <v>0.77229999999999999</v>
      </c>
      <c r="H6" s="24">
        <v>4</v>
      </c>
      <c r="I6" s="15">
        <f t="shared" ref="I6:I55" si="6">I5+1</f>
        <v>47</v>
      </c>
      <c r="J6" s="25" t="e">
        <f>'Table 1'!#REF!</f>
        <v>#REF!</v>
      </c>
      <c r="K6" s="22" t="e">
        <f t="shared" si="4"/>
        <v>#REF!</v>
      </c>
      <c r="L6" s="26" t="e">
        <f>'Table 1'!#REF!</f>
        <v>#REF!</v>
      </c>
      <c r="M6" s="27" t="e">
        <f>'Table 1'!#REF!</f>
        <v>#REF!</v>
      </c>
      <c r="N6" s="28" t="e">
        <f t="shared" si="1"/>
        <v>#REF!</v>
      </c>
      <c r="O6" s="24">
        <v>4</v>
      </c>
      <c r="P6" s="15">
        <f t="shared" si="5"/>
        <v>8</v>
      </c>
      <c r="Q6" s="25">
        <v>5000</v>
      </c>
      <c r="R6" s="22">
        <v>20000</v>
      </c>
      <c r="S6" s="26">
        <v>15494</v>
      </c>
      <c r="T6" s="27">
        <v>470610</v>
      </c>
      <c r="U6" s="28">
        <v>0.77470000000000006</v>
      </c>
    </row>
    <row r="7" spans="1:25" x14ac:dyDescent="0.25">
      <c r="A7" s="29">
        <v>5</v>
      </c>
      <c r="B7" s="15">
        <f t="shared" si="2"/>
        <v>9</v>
      </c>
      <c r="C7" s="18">
        <f>Sheet4!D5</f>
        <v>5000</v>
      </c>
      <c r="D7" s="16">
        <f t="shared" si="3"/>
        <v>25000</v>
      </c>
      <c r="E7" s="19">
        <f>Sheet4!G5</f>
        <v>20995</v>
      </c>
      <c r="F7" s="20">
        <f>Sheet4!H5</f>
        <v>164544</v>
      </c>
      <c r="G7" s="21">
        <f t="shared" si="0"/>
        <v>0.83979999999999999</v>
      </c>
      <c r="H7" s="24">
        <v>5</v>
      </c>
      <c r="I7" s="15">
        <f t="shared" si="6"/>
        <v>48</v>
      </c>
      <c r="J7" s="25" t="e">
        <f>'Table 1'!#REF!</f>
        <v>#REF!</v>
      </c>
      <c r="K7" s="22" t="e">
        <f t="shared" si="4"/>
        <v>#REF!</v>
      </c>
      <c r="L7" s="26" t="e">
        <f>'Table 1'!#REF!</f>
        <v>#REF!</v>
      </c>
      <c r="M7" s="27" t="e">
        <f>'Table 1'!#REF!</f>
        <v>#REF!</v>
      </c>
      <c r="N7" s="23" t="e">
        <f t="shared" si="1"/>
        <v>#REF!</v>
      </c>
      <c r="O7" s="24">
        <v>5</v>
      </c>
      <c r="P7" s="15">
        <f t="shared" si="5"/>
        <v>9</v>
      </c>
      <c r="Q7" s="25">
        <v>5000</v>
      </c>
      <c r="R7" s="22">
        <v>25000</v>
      </c>
      <c r="S7" s="26">
        <v>20705</v>
      </c>
      <c r="T7" s="27">
        <v>491792</v>
      </c>
      <c r="U7" s="23">
        <v>0.82820000000000005</v>
      </c>
    </row>
    <row r="8" spans="1:25" x14ac:dyDescent="0.25">
      <c r="A8" s="29">
        <v>6</v>
      </c>
      <c r="B8" s="15">
        <f t="shared" si="2"/>
        <v>10</v>
      </c>
      <c r="C8" s="18">
        <f>Sheet4!D6</f>
        <v>5000</v>
      </c>
      <c r="D8" s="16">
        <f t="shared" si="3"/>
        <v>30000</v>
      </c>
      <c r="E8" s="19">
        <f>Sheet4!G6</f>
        <v>26853</v>
      </c>
      <c r="F8" s="20">
        <f>Sheet4!H6</f>
        <v>167934</v>
      </c>
      <c r="G8" s="21">
        <f t="shared" si="0"/>
        <v>0.89510000000000001</v>
      </c>
      <c r="H8" s="24">
        <v>6</v>
      </c>
      <c r="I8" s="15">
        <f t="shared" si="6"/>
        <v>49</v>
      </c>
      <c r="J8" s="25" t="e">
        <f>'Table 1'!#REF!</f>
        <v>#REF!</v>
      </c>
      <c r="K8" s="22" t="e">
        <f t="shared" si="4"/>
        <v>#REF!</v>
      </c>
      <c r="L8" s="26" t="e">
        <f>'Table 1'!#REF!</f>
        <v>#REF!</v>
      </c>
      <c r="M8" s="27" t="e">
        <f>'Table 1'!#REF!</f>
        <v>#REF!</v>
      </c>
      <c r="N8" s="28" t="e">
        <f t="shared" si="1"/>
        <v>#REF!</v>
      </c>
      <c r="O8" s="24">
        <v>6</v>
      </c>
      <c r="P8" s="15">
        <f t="shared" si="5"/>
        <v>10</v>
      </c>
      <c r="Q8" s="25">
        <v>5000</v>
      </c>
      <c r="R8" s="22">
        <v>30000</v>
      </c>
      <c r="S8" s="26">
        <v>26166</v>
      </c>
      <c r="T8" s="27">
        <v>513056</v>
      </c>
      <c r="U8" s="28">
        <v>0.87219999999999998</v>
      </c>
    </row>
    <row r="9" spans="1:25" x14ac:dyDescent="0.25">
      <c r="A9" s="29">
        <v>7</v>
      </c>
      <c r="B9" s="15">
        <f t="shared" si="2"/>
        <v>11</v>
      </c>
      <c r="C9" s="18">
        <f>Sheet4!D7</f>
        <v>5000</v>
      </c>
      <c r="D9" s="16">
        <f t="shared" si="3"/>
        <v>35000</v>
      </c>
      <c r="E9" s="19">
        <f>Sheet4!G7</f>
        <v>33036</v>
      </c>
      <c r="F9" s="20">
        <f>Sheet4!H7</f>
        <v>172035</v>
      </c>
      <c r="G9" s="21">
        <f t="shared" si="0"/>
        <v>0.94388571428571433</v>
      </c>
      <c r="H9" s="24">
        <v>7</v>
      </c>
      <c r="I9" s="15">
        <f t="shared" si="6"/>
        <v>50</v>
      </c>
      <c r="J9" s="25" t="e">
        <f>'Table 1'!#REF!</f>
        <v>#REF!</v>
      </c>
      <c r="K9" s="22" t="e">
        <f t="shared" si="4"/>
        <v>#REF!</v>
      </c>
      <c r="L9" s="26" t="e">
        <f>'Table 1'!#REF!</f>
        <v>#REF!</v>
      </c>
      <c r="M9" s="27" t="e">
        <f>'Table 1'!#REF!</f>
        <v>#REF!</v>
      </c>
      <c r="N9" s="23" t="e">
        <f t="shared" si="1"/>
        <v>#REF!</v>
      </c>
      <c r="O9" s="24">
        <v>7</v>
      </c>
      <c r="P9" s="15">
        <f t="shared" si="5"/>
        <v>11</v>
      </c>
      <c r="Q9" s="25">
        <v>5000</v>
      </c>
      <c r="R9" s="22">
        <v>35000</v>
      </c>
      <c r="S9" s="26">
        <v>31893</v>
      </c>
      <c r="T9" s="27">
        <v>534415</v>
      </c>
      <c r="U9" s="23">
        <v>0.91122857142857139</v>
      </c>
      <c r="Y9" s="43"/>
    </row>
    <row r="10" spans="1:25" x14ac:dyDescent="0.25">
      <c r="A10" s="29">
        <v>8</v>
      </c>
      <c r="B10" s="15">
        <f t="shared" si="2"/>
        <v>12</v>
      </c>
      <c r="C10" s="18">
        <f>Sheet4!D8</f>
        <v>5000</v>
      </c>
      <c r="D10" s="16">
        <f t="shared" si="3"/>
        <v>40000</v>
      </c>
      <c r="E10" s="19">
        <f>Sheet4!G8</f>
        <v>39566</v>
      </c>
      <c r="F10" s="20">
        <f>Sheet4!H8</f>
        <v>176873</v>
      </c>
      <c r="G10" s="21">
        <f t="shared" si="0"/>
        <v>0.98914999999999997</v>
      </c>
      <c r="H10" s="24">
        <f>H9+1</f>
        <v>8</v>
      </c>
      <c r="I10" s="15">
        <f t="shared" si="6"/>
        <v>51</v>
      </c>
      <c r="J10" s="25" t="e">
        <f>'Table 1'!#REF!</f>
        <v>#REF!</v>
      </c>
      <c r="K10" s="22" t="e">
        <f t="shared" si="4"/>
        <v>#REF!</v>
      </c>
      <c r="L10" s="26" t="e">
        <f>'Table 1'!#REF!</f>
        <v>#REF!</v>
      </c>
      <c r="M10" s="27" t="e">
        <f>'Table 1'!#REF!</f>
        <v>#REF!</v>
      </c>
      <c r="N10" s="23" t="e">
        <f t="shared" si="1"/>
        <v>#REF!</v>
      </c>
      <c r="O10" s="24">
        <v>8</v>
      </c>
      <c r="P10" s="15">
        <f t="shared" si="5"/>
        <v>12</v>
      </c>
      <c r="Q10" s="25">
        <v>5000</v>
      </c>
      <c r="R10" s="22">
        <v>40000</v>
      </c>
      <c r="S10" s="26">
        <v>37907</v>
      </c>
      <c r="T10" s="27">
        <v>555934</v>
      </c>
      <c r="U10" s="23">
        <v>0.94767500000000005</v>
      </c>
    </row>
    <row r="11" spans="1:25" x14ac:dyDescent="0.25">
      <c r="A11" s="29">
        <v>9</v>
      </c>
      <c r="B11" s="15">
        <f t="shared" si="2"/>
        <v>13</v>
      </c>
      <c r="C11" s="18">
        <f>Sheet4!D9</f>
        <v>5000</v>
      </c>
      <c r="D11" s="16">
        <f t="shared" si="3"/>
        <v>45000</v>
      </c>
      <c r="E11" s="19">
        <f>Sheet4!G9</f>
        <v>46453</v>
      </c>
      <c r="F11" s="20">
        <f>Sheet4!H9</f>
        <v>182444</v>
      </c>
      <c r="G11" s="21">
        <f t="shared" si="0"/>
        <v>1.0322888888888888</v>
      </c>
      <c r="H11" s="24">
        <v>9</v>
      </c>
      <c r="I11" s="15">
        <f t="shared" si="6"/>
        <v>52</v>
      </c>
      <c r="J11" s="25" t="e">
        <f>'Table 1'!#REF!</f>
        <v>#REF!</v>
      </c>
      <c r="K11" s="22" t="e">
        <f t="shared" si="4"/>
        <v>#REF!</v>
      </c>
      <c r="L11" s="26" t="e">
        <f>'Table 1'!#REF!</f>
        <v>#REF!</v>
      </c>
      <c r="M11" s="27" t="e">
        <f>'Table 1'!#REF!</f>
        <v>#REF!</v>
      </c>
      <c r="N11" s="23" t="e">
        <f t="shared" si="1"/>
        <v>#REF!</v>
      </c>
      <c r="O11" s="24">
        <v>9</v>
      </c>
      <c r="P11" s="15">
        <f t="shared" si="5"/>
        <v>13</v>
      </c>
      <c r="Q11" s="25">
        <v>5000</v>
      </c>
      <c r="R11" s="22">
        <v>45000</v>
      </c>
      <c r="S11" s="26">
        <v>44195</v>
      </c>
      <c r="T11" s="27">
        <v>577561</v>
      </c>
      <c r="U11" s="28">
        <v>0.98211111111111116</v>
      </c>
    </row>
    <row r="12" spans="1:25" x14ac:dyDescent="0.25">
      <c r="A12" s="29">
        <v>10</v>
      </c>
      <c r="B12" s="15">
        <f t="shared" si="2"/>
        <v>14</v>
      </c>
      <c r="C12" s="18">
        <f>Sheet4!D10</f>
        <v>5000</v>
      </c>
      <c r="D12" s="16">
        <f t="shared" si="3"/>
        <v>50000</v>
      </c>
      <c r="E12" s="19">
        <f>Sheet4!G10</f>
        <v>53721</v>
      </c>
      <c r="F12" s="20">
        <f>Sheet4!H10</f>
        <v>188771</v>
      </c>
      <c r="G12" s="21">
        <f t="shared" si="0"/>
        <v>1.0744199999999999</v>
      </c>
      <c r="H12" s="24">
        <v>10</v>
      </c>
      <c r="I12" s="15">
        <f t="shared" si="6"/>
        <v>53</v>
      </c>
      <c r="J12" s="25" t="e">
        <f>'Table 1'!#REF!</f>
        <v>#REF!</v>
      </c>
      <c r="K12" s="22" t="e">
        <f t="shared" si="4"/>
        <v>#REF!</v>
      </c>
      <c r="L12" s="26" t="e">
        <f>'Table 1'!#REF!</f>
        <v>#REF!</v>
      </c>
      <c r="M12" s="27" t="e">
        <f>'Table 1'!#REF!</f>
        <v>#REF!</v>
      </c>
      <c r="N12" s="23" t="e">
        <f t="shared" si="1"/>
        <v>#REF!</v>
      </c>
      <c r="O12" s="24">
        <v>10</v>
      </c>
      <c r="P12" s="15">
        <f t="shared" si="5"/>
        <v>14</v>
      </c>
      <c r="Q12" s="25">
        <v>5000</v>
      </c>
      <c r="R12" s="22">
        <v>50000</v>
      </c>
      <c r="S12" s="26">
        <v>50785</v>
      </c>
      <c r="T12" s="44">
        <v>599380</v>
      </c>
      <c r="U12" s="28">
        <v>1.0157</v>
      </c>
    </row>
    <row r="13" spans="1:25" x14ac:dyDescent="0.25">
      <c r="A13" s="29">
        <v>11</v>
      </c>
      <c r="B13" s="15">
        <f t="shared" si="2"/>
        <v>15</v>
      </c>
      <c r="C13" s="18">
        <f>Sheet4!D11</f>
        <v>0</v>
      </c>
      <c r="D13" s="16">
        <f t="shared" si="3"/>
        <v>50000</v>
      </c>
      <c r="E13" s="19">
        <f>Sheet4!G11</f>
        <v>56612</v>
      </c>
      <c r="F13" s="20">
        <f>Sheet4!H11</f>
        <v>195146</v>
      </c>
      <c r="G13" s="21">
        <f t="shared" si="0"/>
        <v>1.1322399999999999</v>
      </c>
      <c r="H13" s="24">
        <v>11</v>
      </c>
      <c r="I13" s="15">
        <f t="shared" si="6"/>
        <v>54</v>
      </c>
      <c r="J13" s="25"/>
      <c r="K13" s="22" t="e">
        <f t="shared" si="4"/>
        <v>#REF!</v>
      </c>
      <c r="L13" s="26" t="e">
        <f>'Table 1'!#REF!</f>
        <v>#REF!</v>
      </c>
      <c r="M13" s="27" t="e">
        <f>'Table 1'!#REF!</f>
        <v>#REF!</v>
      </c>
      <c r="N13" s="28" t="e">
        <f t="shared" si="1"/>
        <v>#REF!</v>
      </c>
      <c r="O13" s="24">
        <v>11</v>
      </c>
      <c r="P13" s="15">
        <f t="shared" si="5"/>
        <v>15</v>
      </c>
      <c r="Q13" s="25">
        <v>0</v>
      </c>
      <c r="R13" s="22">
        <v>50000</v>
      </c>
      <c r="S13" s="26">
        <v>53162</v>
      </c>
      <c r="T13" s="27">
        <v>322665</v>
      </c>
      <c r="U13" s="28">
        <v>1.06324</v>
      </c>
    </row>
    <row r="14" spans="1:25" x14ac:dyDescent="0.25">
      <c r="A14" s="29">
        <v>12</v>
      </c>
      <c r="B14" s="15">
        <f t="shared" si="2"/>
        <v>16</v>
      </c>
      <c r="C14" s="18">
        <f>Sheet4!D12</f>
        <v>0</v>
      </c>
      <c r="D14" s="16">
        <f t="shared" si="3"/>
        <v>50000</v>
      </c>
      <c r="E14" s="19">
        <f>Sheet4!G12</f>
        <v>59652</v>
      </c>
      <c r="F14" s="20">
        <f>Sheet4!H12</f>
        <v>201759</v>
      </c>
      <c r="G14" s="21">
        <f t="shared" si="0"/>
        <v>1.1930400000000001</v>
      </c>
      <c r="H14" s="24">
        <v>12</v>
      </c>
      <c r="I14" s="15">
        <f t="shared" si="6"/>
        <v>55</v>
      </c>
      <c r="J14" s="25"/>
      <c r="K14" s="22" t="e">
        <f t="shared" si="4"/>
        <v>#REF!</v>
      </c>
      <c r="L14" s="26" t="e">
        <f>'Table 1'!#REF!</f>
        <v>#REF!</v>
      </c>
      <c r="M14" s="27" t="e">
        <f>'Table 1'!#REF!</f>
        <v>#REF!</v>
      </c>
      <c r="N14" s="28" t="e">
        <f t="shared" si="1"/>
        <v>#REF!</v>
      </c>
      <c r="O14" s="24">
        <v>12</v>
      </c>
      <c r="P14" s="15">
        <f t="shared" si="5"/>
        <v>16</v>
      </c>
      <c r="Q14" s="25">
        <v>0</v>
      </c>
      <c r="R14" s="22">
        <v>50000</v>
      </c>
      <c r="S14" s="26">
        <v>55641</v>
      </c>
      <c r="T14" s="27">
        <v>328458</v>
      </c>
      <c r="U14" s="28">
        <v>1.1128199999999999</v>
      </c>
    </row>
    <row r="15" spans="1:25" x14ac:dyDescent="0.25">
      <c r="A15" s="29">
        <v>13</v>
      </c>
      <c r="B15" s="15">
        <f t="shared" si="2"/>
        <v>17</v>
      </c>
      <c r="C15" s="18">
        <f>Sheet4!D13</f>
        <v>0</v>
      </c>
      <c r="D15" s="16">
        <f t="shared" si="3"/>
        <v>50000</v>
      </c>
      <c r="E15" s="19">
        <f>Sheet4!G13</f>
        <v>62840</v>
      </c>
      <c r="F15" s="20">
        <f>Sheet4!H13</f>
        <v>208624</v>
      </c>
      <c r="G15" s="21">
        <f t="shared" si="0"/>
        <v>1.2567999999999999</v>
      </c>
      <c r="H15" s="24">
        <v>13</v>
      </c>
      <c r="I15" s="15">
        <f t="shared" si="6"/>
        <v>56</v>
      </c>
      <c r="J15" s="25"/>
      <c r="K15" s="22" t="e">
        <f t="shared" si="4"/>
        <v>#REF!</v>
      </c>
      <c r="L15" s="26" t="e">
        <f>'Table 1'!#REF!</f>
        <v>#REF!</v>
      </c>
      <c r="M15" s="27" t="e">
        <f>'Table 1'!#REF!</f>
        <v>#REF!</v>
      </c>
      <c r="N15" s="28" t="e">
        <f t="shared" si="1"/>
        <v>#REF!</v>
      </c>
      <c r="O15" s="24">
        <v>13</v>
      </c>
      <c r="P15" s="15">
        <f t="shared" si="5"/>
        <v>17</v>
      </c>
      <c r="Q15" s="25">
        <v>0</v>
      </c>
      <c r="R15" s="22">
        <v>50000</v>
      </c>
      <c r="S15" s="26">
        <v>58227</v>
      </c>
      <c r="T15" s="27">
        <v>334504</v>
      </c>
      <c r="U15" s="28">
        <v>1.1645399999999999</v>
      </c>
    </row>
    <row r="16" spans="1:25" x14ac:dyDescent="0.25">
      <c r="A16" s="29">
        <v>14</v>
      </c>
      <c r="B16" s="15">
        <f t="shared" si="2"/>
        <v>18</v>
      </c>
      <c r="C16" s="18">
        <f>Sheet4!D14</f>
        <v>0</v>
      </c>
      <c r="D16" s="16">
        <f t="shared" si="3"/>
        <v>50000</v>
      </c>
      <c r="E16" s="19">
        <f>Sheet4!G14</f>
        <v>66184</v>
      </c>
      <c r="F16" s="20">
        <f>Sheet4!H14</f>
        <v>215760</v>
      </c>
      <c r="G16" s="21">
        <f t="shared" si="0"/>
        <v>1.32368</v>
      </c>
      <c r="H16" s="24">
        <v>14</v>
      </c>
      <c r="I16" s="15">
        <f t="shared" si="6"/>
        <v>57</v>
      </c>
      <c r="J16" s="25"/>
      <c r="K16" s="22" t="e">
        <f t="shared" si="4"/>
        <v>#REF!</v>
      </c>
      <c r="L16" s="26" t="e">
        <f>'Table 1'!#REF!</f>
        <v>#REF!</v>
      </c>
      <c r="M16" s="27" t="e">
        <f>'Table 1'!#REF!</f>
        <v>#REF!</v>
      </c>
      <c r="N16" s="28" t="e">
        <f t="shared" si="1"/>
        <v>#REF!</v>
      </c>
      <c r="O16" s="24">
        <v>14</v>
      </c>
      <c r="P16" s="15">
        <f t="shared" si="5"/>
        <v>18</v>
      </c>
      <c r="Q16" s="25">
        <v>0</v>
      </c>
      <c r="R16" s="22">
        <v>50000</v>
      </c>
      <c r="S16" s="26">
        <v>60905</v>
      </c>
      <c r="T16" s="27">
        <v>340806</v>
      </c>
      <c r="U16" s="28">
        <v>1.2181</v>
      </c>
    </row>
    <row r="17" spans="1:21" x14ac:dyDescent="0.25">
      <c r="A17" s="29">
        <v>15</v>
      </c>
      <c r="B17" s="15">
        <f t="shared" si="2"/>
        <v>19</v>
      </c>
      <c r="C17" s="18">
        <f>Sheet4!D15</f>
        <v>0</v>
      </c>
      <c r="D17" s="16">
        <f t="shared" si="3"/>
        <v>50000</v>
      </c>
      <c r="E17" s="19">
        <f>Sheet4!G15</f>
        <v>69685</v>
      </c>
      <c r="F17" s="20">
        <f>Sheet4!H15</f>
        <v>223127</v>
      </c>
      <c r="G17" s="21">
        <f t="shared" si="0"/>
        <v>1.3936999999999999</v>
      </c>
      <c r="H17" s="24">
        <v>15</v>
      </c>
      <c r="I17" s="15">
        <f t="shared" si="6"/>
        <v>58</v>
      </c>
      <c r="J17" s="25"/>
      <c r="K17" s="22" t="e">
        <f t="shared" si="4"/>
        <v>#REF!</v>
      </c>
      <c r="L17" s="26" t="e">
        <f>'Table 1'!#REF!</f>
        <v>#REF!</v>
      </c>
      <c r="M17" s="27" t="e">
        <f>'Table 1'!#REF!</f>
        <v>#REF!</v>
      </c>
      <c r="N17" s="28" t="e">
        <f t="shared" si="1"/>
        <v>#REF!</v>
      </c>
      <c r="O17" s="24">
        <v>15</v>
      </c>
      <c r="P17" s="15">
        <f t="shared" si="5"/>
        <v>19</v>
      </c>
      <c r="Q17" s="25">
        <v>0</v>
      </c>
      <c r="R17" s="22">
        <v>50000</v>
      </c>
      <c r="S17" s="26">
        <v>63696</v>
      </c>
      <c r="T17" s="27">
        <v>347342</v>
      </c>
      <c r="U17" s="28">
        <v>1.2739199999999999</v>
      </c>
    </row>
    <row r="18" spans="1:21" x14ac:dyDescent="0.25">
      <c r="A18" s="29">
        <v>16</v>
      </c>
      <c r="B18" s="15">
        <f t="shared" si="2"/>
        <v>20</v>
      </c>
      <c r="C18" s="18">
        <f>Sheet4!D16</f>
        <v>0</v>
      </c>
      <c r="D18" s="16">
        <f t="shared" si="3"/>
        <v>50000</v>
      </c>
      <c r="E18" s="19">
        <f>Sheet4!G16</f>
        <v>73374</v>
      </c>
      <c r="F18" s="20">
        <f>Sheet4!H16</f>
        <v>230763</v>
      </c>
      <c r="G18" s="21">
        <f t="shared" si="0"/>
        <v>1.4674799999999999</v>
      </c>
      <c r="H18" s="24">
        <v>16</v>
      </c>
      <c r="I18" s="15">
        <f t="shared" si="6"/>
        <v>59</v>
      </c>
      <c r="J18" s="25"/>
      <c r="K18" s="22" t="e">
        <f t="shared" si="4"/>
        <v>#REF!</v>
      </c>
      <c r="L18" s="26" t="e">
        <f>'Table 1'!#REF!</f>
        <v>#REF!</v>
      </c>
      <c r="M18" s="27" t="e">
        <f>'Table 1'!#REF!</f>
        <v>#REF!</v>
      </c>
      <c r="N18" s="28" t="e">
        <f t="shared" si="1"/>
        <v>#REF!</v>
      </c>
      <c r="O18" s="24">
        <v>16</v>
      </c>
      <c r="P18" s="15">
        <f t="shared" si="5"/>
        <v>20</v>
      </c>
      <c r="Q18" s="25">
        <v>0</v>
      </c>
      <c r="R18" s="22">
        <v>50000</v>
      </c>
      <c r="S18" s="26">
        <v>66711</v>
      </c>
      <c r="T18" s="27">
        <v>354528</v>
      </c>
      <c r="U18" s="28">
        <v>1.33422</v>
      </c>
    </row>
    <row r="19" spans="1:21" x14ac:dyDescent="0.25">
      <c r="A19" s="29">
        <v>17</v>
      </c>
      <c r="B19" s="15">
        <f t="shared" si="2"/>
        <v>21</v>
      </c>
      <c r="C19" s="18">
        <f>Sheet4!D17</f>
        <v>0</v>
      </c>
      <c r="D19" s="16">
        <f t="shared" si="3"/>
        <v>50000</v>
      </c>
      <c r="E19" s="19">
        <f>Sheet4!G17</f>
        <v>77259</v>
      </c>
      <c r="F19" s="20">
        <f>Sheet4!H17</f>
        <v>238674</v>
      </c>
      <c r="G19" s="21">
        <f t="shared" si="0"/>
        <v>1.54518</v>
      </c>
      <c r="H19" s="24">
        <v>17</v>
      </c>
      <c r="I19" s="15">
        <f t="shared" si="6"/>
        <v>60</v>
      </c>
      <c r="J19" s="25"/>
      <c r="K19" s="22" t="e">
        <f t="shared" si="4"/>
        <v>#REF!</v>
      </c>
      <c r="L19" s="26" t="e">
        <f>'Table 1'!#REF!</f>
        <v>#REF!</v>
      </c>
      <c r="M19" s="27" t="e">
        <f>'Table 1'!#REF!</f>
        <v>#REF!</v>
      </c>
      <c r="N19" s="28" t="e">
        <f t="shared" si="1"/>
        <v>#REF!</v>
      </c>
      <c r="O19" s="24">
        <v>17</v>
      </c>
      <c r="P19" s="15">
        <f t="shared" si="5"/>
        <v>21</v>
      </c>
      <c r="Q19" s="25">
        <v>0</v>
      </c>
      <c r="R19" s="22">
        <v>50000</v>
      </c>
      <c r="S19" s="26">
        <v>69909</v>
      </c>
      <c r="T19" s="27">
        <v>362073</v>
      </c>
      <c r="U19" s="28">
        <v>1.39818</v>
      </c>
    </row>
    <row r="20" spans="1:21" x14ac:dyDescent="0.25">
      <c r="A20" s="29">
        <v>18</v>
      </c>
      <c r="B20" s="15">
        <f t="shared" si="2"/>
        <v>22</v>
      </c>
      <c r="C20" s="18">
        <f>Sheet4!D18</f>
        <v>0</v>
      </c>
      <c r="D20" s="16">
        <f t="shared" si="3"/>
        <v>50000</v>
      </c>
      <c r="E20" s="19">
        <f>Sheet4!G18</f>
        <v>81351</v>
      </c>
      <c r="F20" s="20">
        <f>Sheet4!H18</f>
        <v>246861</v>
      </c>
      <c r="G20" s="21">
        <f t="shared" si="0"/>
        <v>1.6270199999999999</v>
      </c>
      <c r="H20" s="24">
        <v>18</v>
      </c>
      <c r="I20" s="15">
        <f t="shared" si="6"/>
        <v>61</v>
      </c>
      <c r="J20" s="25"/>
      <c r="K20" s="22" t="e">
        <f t="shared" si="4"/>
        <v>#REF!</v>
      </c>
      <c r="L20" s="26" t="e">
        <f>'Table 1'!#REF!</f>
        <v>#REF!</v>
      </c>
      <c r="M20" s="27" t="e">
        <f>'Table 1'!#REF!</f>
        <v>#REF!</v>
      </c>
      <c r="N20" s="28" t="e">
        <f t="shared" si="1"/>
        <v>#REF!</v>
      </c>
      <c r="O20" s="24">
        <v>18</v>
      </c>
      <c r="P20" s="15">
        <f t="shared" si="5"/>
        <v>22</v>
      </c>
      <c r="Q20" s="25">
        <v>0</v>
      </c>
      <c r="R20" s="22">
        <v>50000</v>
      </c>
      <c r="S20" s="26">
        <v>73299</v>
      </c>
      <c r="T20" s="27">
        <v>369990</v>
      </c>
      <c r="U20" s="28">
        <v>1.4659800000000001</v>
      </c>
    </row>
    <row r="21" spans="1:21" x14ac:dyDescent="0.25">
      <c r="A21" s="29">
        <v>19</v>
      </c>
      <c r="B21" s="15">
        <f t="shared" si="2"/>
        <v>23</v>
      </c>
      <c r="C21" s="18">
        <f>Sheet4!D19</f>
        <v>0</v>
      </c>
      <c r="D21" s="16">
        <f t="shared" si="3"/>
        <v>50000</v>
      </c>
      <c r="E21" s="19">
        <f>Sheet4!G19</f>
        <v>85667</v>
      </c>
      <c r="F21" s="20">
        <f>Sheet4!H19</f>
        <v>255349</v>
      </c>
      <c r="G21" s="21">
        <f t="shared" si="0"/>
        <v>1.7133400000000001</v>
      </c>
      <c r="H21" s="24">
        <v>19</v>
      </c>
      <c r="I21" s="15">
        <f t="shared" si="6"/>
        <v>62</v>
      </c>
      <c r="J21" s="25"/>
      <c r="K21" s="22" t="e">
        <f t="shared" si="4"/>
        <v>#REF!</v>
      </c>
      <c r="L21" s="26" t="e">
        <f>'Table 1'!#REF!</f>
        <v>#REF!</v>
      </c>
      <c r="M21" s="27" t="e">
        <f>'Table 1'!#REF!</f>
        <v>#REF!</v>
      </c>
      <c r="N21" s="28" t="e">
        <f t="shared" si="1"/>
        <v>#REF!</v>
      </c>
      <c r="O21" s="24">
        <v>19</v>
      </c>
      <c r="P21" s="15">
        <f t="shared" si="5"/>
        <v>23</v>
      </c>
      <c r="Q21" s="25">
        <v>0</v>
      </c>
      <c r="R21" s="22">
        <v>50000</v>
      </c>
      <c r="S21" s="26">
        <v>76893</v>
      </c>
      <c r="T21" s="27">
        <v>378278</v>
      </c>
      <c r="U21" s="28">
        <v>1.53786</v>
      </c>
    </row>
    <row r="22" spans="1:21" x14ac:dyDescent="0.25">
      <c r="A22" s="29">
        <v>20</v>
      </c>
      <c r="B22" s="15">
        <f t="shared" si="2"/>
        <v>24</v>
      </c>
      <c r="C22" s="18">
        <f>Sheet4!D20</f>
        <v>0</v>
      </c>
      <c r="D22" s="16">
        <f t="shared" si="3"/>
        <v>50000</v>
      </c>
      <c r="E22" s="19">
        <f>Sheet4!G20</f>
        <v>90211</v>
      </c>
      <c r="F22" s="20">
        <f>Sheet4!H20</f>
        <v>264130</v>
      </c>
      <c r="G22" s="21">
        <f t="shared" si="0"/>
        <v>1.8042199999999999</v>
      </c>
      <c r="H22" s="24">
        <v>20</v>
      </c>
      <c r="I22" s="15">
        <f t="shared" si="6"/>
        <v>63</v>
      </c>
      <c r="J22" s="25"/>
      <c r="K22" s="22" t="e">
        <f t="shared" si="4"/>
        <v>#REF!</v>
      </c>
      <c r="L22" s="26" t="e">
        <f>'Table 1'!#REF!</f>
        <v>#REF!</v>
      </c>
      <c r="M22" s="27" t="e">
        <f>'Table 1'!#REF!</f>
        <v>#REF!</v>
      </c>
      <c r="N22" s="28" t="e">
        <f t="shared" si="1"/>
        <v>#REF!</v>
      </c>
      <c r="O22" s="24">
        <v>20</v>
      </c>
      <c r="P22" s="15">
        <f t="shared" si="5"/>
        <v>24</v>
      </c>
      <c r="Q22" s="25">
        <v>0</v>
      </c>
      <c r="R22" s="22">
        <v>50000</v>
      </c>
      <c r="S22" s="26">
        <v>80704</v>
      </c>
      <c r="T22" s="27">
        <v>386941</v>
      </c>
      <c r="U22" s="23">
        <v>1.61408</v>
      </c>
    </row>
    <row r="23" spans="1:21" x14ac:dyDescent="0.25">
      <c r="A23" s="29">
        <v>21</v>
      </c>
      <c r="B23" s="15">
        <f t="shared" si="2"/>
        <v>25</v>
      </c>
      <c r="C23" s="18">
        <f>Sheet4!D21</f>
        <v>0</v>
      </c>
      <c r="D23" s="16">
        <f t="shared" si="3"/>
        <v>50000</v>
      </c>
      <c r="E23" s="19">
        <f>Sheet4!G21</f>
        <v>94993</v>
      </c>
      <c r="F23" s="20">
        <f>Sheet4!H21</f>
        <v>273212</v>
      </c>
      <c r="G23" s="21">
        <f t="shared" si="0"/>
        <v>1.8998600000000001</v>
      </c>
      <c r="H23" s="24">
        <v>21</v>
      </c>
      <c r="I23" s="15">
        <f t="shared" si="6"/>
        <v>64</v>
      </c>
      <c r="J23" s="25"/>
      <c r="K23" s="22" t="e">
        <f t="shared" si="4"/>
        <v>#REF!</v>
      </c>
      <c r="L23" s="26" t="e">
        <f>'Table 1'!#REF!</f>
        <v>#REF!</v>
      </c>
      <c r="M23" s="27" t="e">
        <f>'Table 1'!#REF!</f>
        <v>#REF!</v>
      </c>
      <c r="N23" s="28" t="e">
        <f t="shared" si="1"/>
        <v>#REF!</v>
      </c>
      <c r="O23" s="24">
        <v>21</v>
      </c>
      <c r="P23" s="15">
        <f t="shared" si="5"/>
        <v>25</v>
      </c>
      <c r="Q23" s="25">
        <v>0</v>
      </c>
      <c r="R23" s="22">
        <v>50000</v>
      </c>
      <c r="S23" s="26">
        <v>84722</v>
      </c>
      <c r="T23" s="27">
        <v>395878</v>
      </c>
      <c r="U23" s="28">
        <v>1.6944399999999999</v>
      </c>
    </row>
    <row r="24" spans="1:21" x14ac:dyDescent="0.25">
      <c r="A24" s="29">
        <v>22</v>
      </c>
      <c r="B24" s="15">
        <f t="shared" si="2"/>
        <v>26</v>
      </c>
      <c r="C24" s="18">
        <f>Sheet4!D22</f>
        <v>0</v>
      </c>
      <c r="D24" s="16">
        <f t="shared" si="3"/>
        <v>50000</v>
      </c>
      <c r="E24" s="19">
        <f>Sheet4!G22</f>
        <v>100034</v>
      </c>
      <c r="F24" s="20">
        <f>Sheet4!H22</f>
        <v>282614</v>
      </c>
      <c r="G24" s="21">
        <f t="shared" si="0"/>
        <v>2.00068</v>
      </c>
      <c r="H24" s="24">
        <v>22</v>
      </c>
      <c r="I24" s="15">
        <f t="shared" si="6"/>
        <v>65</v>
      </c>
      <c r="J24" s="25"/>
      <c r="K24" s="22" t="e">
        <f t="shared" si="4"/>
        <v>#REF!</v>
      </c>
      <c r="L24" s="26" t="e">
        <f>'Table 1'!#REF!</f>
        <v>#REF!</v>
      </c>
      <c r="M24" s="27" t="e">
        <f>'Table 1'!#REF!</f>
        <v>#REF!</v>
      </c>
      <c r="N24" s="28" t="e">
        <f t="shared" si="1"/>
        <v>#REF!</v>
      </c>
      <c r="O24" s="24">
        <v>22</v>
      </c>
      <c r="P24" s="15">
        <f t="shared" si="5"/>
        <v>26</v>
      </c>
      <c r="Q24" s="25">
        <v>0</v>
      </c>
      <c r="R24" s="22">
        <v>50000</v>
      </c>
      <c r="S24" s="26">
        <v>88943</v>
      </c>
      <c r="T24" s="27">
        <v>405022</v>
      </c>
      <c r="U24" s="28">
        <v>1.7788600000000001</v>
      </c>
    </row>
    <row r="25" spans="1:21" x14ac:dyDescent="0.25">
      <c r="A25" s="29">
        <v>23</v>
      </c>
      <c r="B25" s="15">
        <f t="shared" si="2"/>
        <v>27</v>
      </c>
      <c r="C25" s="18">
        <f>Sheet4!D23</f>
        <v>0</v>
      </c>
      <c r="D25" s="16">
        <f t="shared" si="3"/>
        <v>50000</v>
      </c>
      <c r="E25" s="19">
        <f>Sheet4!G23</f>
        <v>105340</v>
      </c>
      <c r="F25" s="20">
        <f>Sheet4!H23</f>
        <v>292328</v>
      </c>
      <c r="G25" s="21">
        <f t="shared" si="0"/>
        <v>2.1067999999999998</v>
      </c>
      <c r="H25" s="24">
        <v>23</v>
      </c>
      <c r="I25" s="15">
        <f t="shared" si="6"/>
        <v>66</v>
      </c>
      <c r="J25" s="25"/>
      <c r="K25" s="22" t="e">
        <f t="shared" si="4"/>
        <v>#REF!</v>
      </c>
      <c r="L25" s="26" t="e">
        <f>'Table 1'!#REF!</f>
        <v>#REF!</v>
      </c>
      <c r="M25" s="27" t="e">
        <f>'Table 1'!#REF!</f>
        <v>#REF!</v>
      </c>
      <c r="N25" s="28" t="e">
        <f t="shared" si="1"/>
        <v>#REF!</v>
      </c>
      <c r="O25" s="24">
        <v>23</v>
      </c>
      <c r="P25" s="15">
        <f t="shared" si="5"/>
        <v>27</v>
      </c>
      <c r="Q25" s="25">
        <v>0</v>
      </c>
      <c r="R25" s="22">
        <v>50000</v>
      </c>
      <c r="S25" s="26">
        <v>93386</v>
      </c>
      <c r="T25" s="27">
        <v>414385</v>
      </c>
      <c r="U25" s="28">
        <v>1.86772</v>
      </c>
    </row>
    <row r="26" spans="1:21" x14ac:dyDescent="0.25">
      <c r="A26" s="29">
        <v>24</v>
      </c>
      <c r="B26" s="15">
        <f t="shared" si="2"/>
        <v>28</v>
      </c>
      <c r="C26" s="18">
        <f>Sheet4!D24</f>
        <v>0</v>
      </c>
      <c r="D26" s="16">
        <f t="shared" si="3"/>
        <v>50000</v>
      </c>
      <c r="E26" s="19">
        <f>Sheet4!G24</f>
        <v>110934</v>
      </c>
      <c r="F26" s="20">
        <f>Sheet4!H24</f>
        <v>302355</v>
      </c>
      <c r="G26" s="21">
        <f t="shared" si="0"/>
        <v>2.21868</v>
      </c>
      <c r="H26" s="24">
        <v>24</v>
      </c>
      <c r="I26" s="15">
        <f t="shared" si="6"/>
        <v>67</v>
      </c>
      <c r="J26" s="25"/>
      <c r="K26" s="22" t="e">
        <f t="shared" si="4"/>
        <v>#REF!</v>
      </c>
      <c r="L26" s="26" t="e">
        <f>'Table 1'!#REF!</f>
        <v>#REF!</v>
      </c>
      <c r="M26" s="27" t="e">
        <f>'Table 1'!#REF!</f>
        <v>#REF!</v>
      </c>
      <c r="N26" s="28" t="e">
        <f t="shared" si="1"/>
        <v>#REF!</v>
      </c>
      <c r="O26" s="24">
        <v>24</v>
      </c>
      <c r="P26" s="15">
        <f t="shared" si="5"/>
        <v>28</v>
      </c>
      <c r="Q26" s="25">
        <v>0</v>
      </c>
      <c r="R26" s="22">
        <v>50000</v>
      </c>
      <c r="S26" s="26">
        <v>98056</v>
      </c>
      <c r="T26" s="27">
        <v>423915</v>
      </c>
      <c r="U26" s="28">
        <v>1.96112</v>
      </c>
    </row>
    <row r="27" spans="1:21" x14ac:dyDescent="0.25">
      <c r="A27" s="29">
        <v>25</v>
      </c>
      <c r="B27" s="15">
        <f t="shared" si="2"/>
        <v>29</v>
      </c>
      <c r="C27" s="18">
        <f>Sheet4!D25</f>
        <v>0</v>
      </c>
      <c r="D27" s="16">
        <f t="shared" si="3"/>
        <v>50000</v>
      </c>
      <c r="E27" s="19">
        <f>Sheet4!G25</f>
        <v>116825</v>
      </c>
      <c r="F27" s="20">
        <f>Sheet4!H25</f>
        <v>312710</v>
      </c>
      <c r="G27" s="21">
        <f t="shared" si="0"/>
        <v>2.3365</v>
      </c>
      <c r="H27" s="24">
        <v>25</v>
      </c>
      <c r="I27" s="15">
        <f t="shared" si="6"/>
        <v>68</v>
      </c>
      <c r="J27" s="25"/>
      <c r="K27" s="22" t="e">
        <f t="shared" si="4"/>
        <v>#REF!</v>
      </c>
      <c r="L27" s="26" t="e">
        <f>'Table 1'!#REF!</f>
        <v>#REF!</v>
      </c>
      <c r="M27" s="27" t="e">
        <f>'Table 1'!#REF!</f>
        <v>#REF!</v>
      </c>
      <c r="N27" s="28" t="e">
        <f t="shared" si="1"/>
        <v>#REF!</v>
      </c>
      <c r="O27" s="24">
        <v>25</v>
      </c>
      <c r="P27" s="15">
        <f t="shared" si="5"/>
        <v>29</v>
      </c>
      <c r="Q27" s="25">
        <v>0</v>
      </c>
      <c r="R27" s="22">
        <v>50000</v>
      </c>
      <c r="S27" s="26">
        <v>102981</v>
      </c>
      <c r="T27" s="27">
        <v>433657</v>
      </c>
      <c r="U27" s="28">
        <v>2.0596199999999998</v>
      </c>
    </row>
    <row r="28" spans="1:21" x14ac:dyDescent="0.25">
      <c r="A28" s="29">
        <v>26</v>
      </c>
      <c r="B28" s="15">
        <f t="shared" si="2"/>
        <v>30</v>
      </c>
      <c r="C28" s="18">
        <f>Sheet4!D26</f>
        <v>0</v>
      </c>
      <c r="D28" s="16">
        <f t="shared" si="3"/>
        <v>50000</v>
      </c>
      <c r="E28" s="19">
        <f>Sheet4!G26</f>
        <v>123033</v>
      </c>
      <c r="F28" s="20">
        <f>Sheet4!H26</f>
        <v>323406</v>
      </c>
      <c r="G28" s="21">
        <f t="shared" si="0"/>
        <v>2.4606599999999998</v>
      </c>
      <c r="H28" s="24">
        <v>26</v>
      </c>
      <c r="I28" s="15">
        <f t="shared" si="6"/>
        <v>69</v>
      </c>
      <c r="J28" s="25"/>
      <c r="K28" s="22" t="e">
        <f t="shared" si="4"/>
        <v>#REF!</v>
      </c>
      <c r="L28" s="26" t="e">
        <f>'Table 1'!#REF!</f>
        <v>#REF!</v>
      </c>
      <c r="M28" s="27" t="e">
        <f>'Table 1'!#REF!</f>
        <v>#REF!</v>
      </c>
      <c r="N28" s="28" t="e">
        <f t="shared" si="1"/>
        <v>#REF!</v>
      </c>
      <c r="O28" s="24">
        <v>26</v>
      </c>
      <c r="P28" s="15">
        <f t="shared" si="5"/>
        <v>30</v>
      </c>
      <c r="Q28" s="25">
        <v>0</v>
      </c>
      <c r="R28" s="22">
        <v>50000</v>
      </c>
      <c r="S28" s="26">
        <v>108162</v>
      </c>
      <c r="T28" s="27">
        <v>443612</v>
      </c>
      <c r="U28" s="28">
        <v>2.1632400000000001</v>
      </c>
    </row>
    <row r="29" spans="1:21" x14ac:dyDescent="0.25">
      <c r="A29" s="29">
        <v>27</v>
      </c>
      <c r="B29" s="15">
        <f t="shared" si="2"/>
        <v>31</v>
      </c>
      <c r="C29" s="18">
        <f>Sheet4!D27</f>
        <v>0</v>
      </c>
      <c r="D29" s="16">
        <f t="shared" si="3"/>
        <v>50000</v>
      </c>
      <c r="E29" s="19">
        <f>Sheet4!G27</f>
        <v>129573</v>
      </c>
      <c r="F29" s="20">
        <f>Sheet4!H27</f>
        <v>334451</v>
      </c>
      <c r="G29" s="21">
        <f t="shared" si="0"/>
        <v>2.5914600000000001</v>
      </c>
      <c r="H29" s="24">
        <v>27</v>
      </c>
      <c r="I29" s="15">
        <f t="shared" si="6"/>
        <v>70</v>
      </c>
      <c r="J29" s="25"/>
      <c r="K29" s="22" t="e">
        <f t="shared" si="4"/>
        <v>#REF!</v>
      </c>
      <c r="L29" s="26" t="e">
        <f>'Table 1'!#REF!</f>
        <v>#REF!</v>
      </c>
      <c r="M29" s="27" t="e">
        <f>'Table 1'!#REF!</f>
        <v>#REF!</v>
      </c>
      <c r="N29" s="28" t="e">
        <f t="shared" si="1"/>
        <v>#REF!</v>
      </c>
      <c r="O29" s="24">
        <v>27</v>
      </c>
      <c r="P29" s="15">
        <f t="shared" si="5"/>
        <v>31</v>
      </c>
      <c r="Q29" s="25">
        <v>0</v>
      </c>
      <c r="R29" s="22">
        <v>50000</v>
      </c>
      <c r="S29" s="26">
        <v>113612</v>
      </c>
      <c r="T29" s="27">
        <v>453778</v>
      </c>
      <c r="U29" s="28">
        <v>2.27224</v>
      </c>
    </row>
    <row r="30" spans="1:21" x14ac:dyDescent="0.25">
      <c r="A30" s="29">
        <v>28</v>
      </c>
      <c r="B30" s="15">
        <f t="shared" si="2"/>
        <v>32</v>
      </c>
      <c r="C30" s="18">
        <f>Sheet4!D28</f>
        <v>0</v>
      </c>
      <c r="D30" s="16">
        <f t="shared" si="3"/>
        <v>50000</v>
      </c>
      <c r="E30" s="19">
        <f>Sheet4!G28</f>
        <v>136458</v>
      </c>
      <c r="F30" s="20">
        <f>Sheet4!H28</f>
        <v>345875</v>
      </c>
      <c r="G30" s="21">
        <f t="shared" si="0"/>
        <v>2.7291599999999998</v>
      </c>
      <c r="H30" s="24">
        <v>28</v>
      </c>
      <c r="I30" s="15">
        <f t="shared" si="6"/>
        <v>71</v>
      </c>
      <c r="J30" s="25"/>
      <c r="K30" s="22" t="e">
        <f t="shared" si="4"/>
        <v>#REF!</v>
      </c>
      <c r="L30" s="26" t="e">
        <f>'Table 1'!#REF!</f>
        <v>#REF!</v>
      </c>
      <c r="M30" s="27" t="e">
        <f>'Table 1'!#REF!</f>
        <v>#REF!</v>
      </c>
      <c r="N30" s="28" t="e">
        <f t="shared" si="1"/>
        <v>#REF!</v>
      </c>
      <c r="O30" s="24">
        <v>28</v>
      </c>
      <c r="P30" s="15">
        <f t="shared" si="5"/>
        <v>32</v>
      </c>
      <c r="Q30" s="25">
        <v>0</v>
      </c>
      <c r="R30" s="22">
        <v>50000</v>
      </c>
      <c r="S30" s="26">
        <v>119336</v>
      </c>
      <c r="T30" s="27">
        <v>464182</v>
      </c>
      <c r="U30" s="28">
        <v>2.38672</v>
      </c>
    </row>
    <row r="31" spans="1:21" x14ac:dyDescent="0.25">
      <c r="A31" s="29">
        <v>29</v>
      </c>
      <c r="B31" s="15">
        <f t="shared" si="2"/>
        <v>33</v>
      </c>
      <c r="C31" s="18">
        <f>Sheet4!D29</f>
        <v>0</v>
      </c>
      <c r="D31" s="16">
        <f t="shared" si="3"/>
        <v>50000</v>
      </c>
      <c r="E31" s="19">
        <f>Sheet4!G29</f>
        <v>143700</v>
      </c>
      <c r="F31" s="20">
        <f>Sheet4!H29</f>
        <v>357694</v>
      </c>
      <c r="G31" s="21">
        <f t="shared" si="0"/>
        <v>2.8740000000000001</v>
      </c>
      <c r="H31" s="24">
        <v>29</v>
      </c>
      <c r="I31" s="15">
        <f t="shared" si="6"/>
        <v>72</v>
      </c>
      <c r="J31" s="25"/>
      <c r="K31" s="22" t="e">
        <f t="shared" si="4"/>
        <v>#REF!</v>
      </c>
      <c r="L31" s="26" t="e">
        <f>'Table 1'!#REF!</f>
        <v>#REF!</v>
      </c>
      <c r="M31" s="27" t="e">
        <f>'Table 1'!#REF!</f>
        <v>#REF!</v>
      </c>
      <c r="N31" s="28" t="e">
        <f t="shared" si="1"/>
        <v>#REF!</v>
      </c>
      <c r="O31" s="24">
        <v>29</v>
      </c>
      <c r="P31" s="15">
        <f t="shared" si="5"/>
        <v>33</v>
      </c>
      <c r="Q31" s="25">
        <v>0</v>
      </c>
      <c r="R31" s="22">
        <v>50000</v>
      </c>
      <c r="S31" s="26">
        <v>125350</v>
      </c>
      <c r="T31" s="27">
        <v>474864</v>
      </c>
      <c r="U31" s="28">
        <v>2.5070000000000001</v>
      </c>
    </row>
    <row r="32" spans="1:21" x14ac:dyDescent="0.25">
      <c r="A32" s="29">
        <v>30</v>
      </c>
      <c r="B32" s="15">
        <f t="shared" si="2"/>
        <v>34</v>
      </c>
      <c r="C32" s="18">
        <f>Sheet4!D30</f>
        <v>0</v>
      </c>
      <c r="D32" s="16">
        <f t="shared" si="3"/>
        <v>50000</v>
      </c>
      <c r="E32" s="19">
        <f>Sheet4!G30</f>
        <v>151317</v>
      </c>
      <c r="F32" s="20">
        <f>Sheet4!H30</f>
        <v>369914</v>
      </c>
      <c r="G32" s="21">
        <f t="shared" si="0"/>
        <v>3.0263399999999998</v>
      </c>
      <c r="H32" s="24">
        <v>30</v>
      </c>
      <c r="I32" s="15">
        <f t="shared" si="6"/>
        <v>73</v>
      </c>
      <c r="J32" s="25"/>
      <c r="K32" s="22" t="e">
        <f t="shared" si="4"/>
        <v>#REF!</v>
      </c>
      <c r="L32" s="26" t="e">
        <f>'Table 1'!#REF!</f>
        <v>#REF!</v>
      </c>
      <c r="M32" s="27" t="e">
        <f>'Table 1'!#REF!</f>
        <v>#REF!</v>
      </c>
      <c r="N32" s="28" t="e">
        <f t="shared" si="1"/>
        <v>#REF!</v>
      </c>
      <c r="O32" s="24">
        <v>30</v>
      </c>
      <c r="P32" s="15">
        <f t="shared" si="5"/>
        <v>34</v>
      </c>
      <c r="Q32" s="25">
        <v>0</v>
      </c>
      <c r="R32" s="22">
        <v>50000</v>
      </c>
      <c r="S32" s="26">
        <v>131654</v>
      </c>
      <c r="T32" s="27">
        <v>485807</v>
      </c>
      <c r="U32" s="28">
        <v>2.6330800000000001</v>
      </c>
    </row>
    <row r="33" spans="1:21" x14ac:dyDescent="0.25">
      <c r="A33" s="29">
        <v>31</v>
      </c>
      <c r="B33" s="15">
        <f t="shared" si="2"/>
        <v>35</v>
      </c>
      <c r="C33" s="18">
        <f>Sheet4!D31</f>
        <v>0</v>
      </c>
      <c r="D33" s="16">
        <f t="shared" si="3"/>
        <v>50000</v>
      </c>
      <c r="E33" s="19">
        <f>Sheet4!G31</f>
        <v>159329</v>
      </c>
      <c r="F33" s="20">
        <f>Sheet4!H31</f>
        <v>382551</v>
      </c>
      <c r="G33" s="21">
        <f t="shared" si="0"/>
        <v>3.1865800000000002</v>
      </c>
      <c r="H33" s="24">
        <v>31</v>
      </c>
      <c r="I33" s="15">
        <f t="shared" si="6"/>
        <v>74</v>
      </c>
      <c r="J33" s="25"/>
      <c r="K33" s="22" t="e">
        <f t="shared" si="4"/>
        <v>#REF!</v>
      </c>
      <c r="L33" s="26" t="e">
        <f>'Table 1'!#REF!</f>
        <v>#REF!</v>
      </c>
      <c r="M33" s="27" t="e">
        <f>'Table 1'!#REF!</f>
        <v>#REF!</v>
      </c>
      <c r="N33" s="28" t="e">
        <f t="shared" si="1"/>
        <v>#REF!</v>
      </c>
      <c r="O33" s="24">
        <v>31</v>
      </c>
      <c r="P33" s="15">
        <f t="shared" si="5"/>
        <v>35</v>
      </c>
      <c r="Q33" s="25">
        <v>0</v>
      </c>
      <c r="R33" s="22">
        <v>50000</v>
      </c>
      <c r="S33" s="26">
        <v>138268</v>
      </c>
      <c r="T33" s="27">
        <v>497028</v>
      </c>
      <c r="U33" s="28">
        <v>2.7653599999999998</v>
      </c>
    </row>
    <row r="34" spans="1:21" x14ac:dyDescent="0.25">
      <c r="A34" s="29">
        <v>32</v>
      </c>
      <c r="B34" s="15">
        <f t="shared" si="2"/>
        <v>36</v>
      </c>
      <c r="C34" s="18">
        <f>Sheet4!D32</f>
        <v>0</v>
      </c>
      <c r="D34" s="16">
        <f t="shared" si="3"/>
        <v>50000</v>
      </c>
      <c r="E34" s="19">
        <f>Sheet4!G32</f>
        <v>167749</v>
      </c>
      <c r="F34" s="20">
        <f>Sheet4!H32</f>
        <v>395624</v>
      </c>
      <c r="G34" s="21">
        <f t="shared" si="0"/>
        <v>3.3549799999999999</v>
      </c>
      <c r="H34" s="24">
        <v>32</v>
      </c>
      <c r="I34" s="15">
        <f t="shared" si="6"/>
        <v>75</v>
      </c>
      <c r="J34" s="25"/>
      <c r="K34" s="22" t="e">
        <f t="shared" si="4"/>
        <v>#REF!</v>
      </c>
      <c r="L34" s="26" t="e">
        <f>'Table 1'!#REF!</f>
        <v>#REF!</v>
      </c>
      <c r="M34" s="27" t="e">
        <f>'Table 1'!#REF!</f>
        <v>#REF!</v>
      </c>
      <c r="N34" s="28" t="e">
        <f t="shared" si="1"/>
        <v>#REF!</v>
      </c>
      <c r="O34" s="24">
        <v>32</v>
      </c>
      <c r="P34" s="15">
        <f t="shared" si="5"/>
        <v>36</v>
      </c>
      <c r="Q34" s="25">
        <v>0</v>
      </c>
      <c r="R34" s="22">
        <v>50000</v>
      </c>
      <c r="S34" s="26">
        <v>145208</v>
      </c>
      <c r="T34" s="27">
        <v>508539</v>
      </c>
      <c r="U34" s="28">
        <v>2.9041600000000001</v>
      </c>
    </row>
    <row r="35" spans="1:21" x14ac:dyDescent="0.25">
      <c r="A35" s="29">
        <v>33</v>
      </c>
      <c r="B35" s="15">
        <f t="shared" si="2"/>
        <v>37</v>
      </c>
      <c r="C35" s="18">
        <f>Sheet4!D33</f>
        <v>0</v>
      </c>
      <c r="D35" s="16">
        <f t="shared" si="3"/>
        <v>50000</v>
      </c>
      <c r="E35" s="19">
        <f>Sheet4!G33</f>
        <v>176606</v>
      </c>
      <c r="F35" s="20">
        <f>Sheet4!H33</f>
        <v>409161</v>
      </c>
      <c r="G35" s="21">
        <f t="shared" si="0"/>
        <v>3.5321199999999999</v>
      </c>
      <c r="H35" s="24">
        <v>33</v>
      </c>
      <c r="I35" s="15">
        <f t="shared" si="6"/>
        <v>76</v>
      </c>
      <c r="J35" s="25"/>
      <c r="K35" s="22" t="e">
        <f t="shared" si="4"/>
        <v>#REF!</v>
      </c>
      <c r="L35" s="26" t="e">
        <f>'Table 1'!#REF!</f>
        <v>#REF!</v>
      </c>
      <c r="M35" s="27" t="e">
        <f>'Table 1'!#REF!</f>
        <v>#REF!</v>
      </c>
      <c r="N35" s="28" t="e">
        <f t="shared" si="1"/>
        <v>#REF!</v>
      </c>
      <c r="O35" s="24">
        <v>33</v>
      </c>
      <c r="P35" s="15">
        <f t="shared" si="5"/>
        <v>37</v>
      </c>
      <c r="Q35" s="25">
        <v>0</v>
      </c>
      <c r="R35" s="22">
        <v>50000</v>
      </c>
      <c r="S35" s="26">
        <v>152479</v>
      </c>
      <c r="T35" s="27">
        <v>520370</v>
      </c>
      <c r="U35" s="28">
        <v>3.0495800000000002</v>
      </c>
    </row>
    <row r="36" spans="1:21" x14ac:dyDescent="0.25">
      <c r="A36" s="29">
        <v>34</v>
      </c>
      <c r="B36" s="15">
        <f t="shared" si="2"/>
        <v>38</v>
      </c>
      <c r="C36" s="18">
        <f>Sheet4!D34</f>
        <v>0</v>
      </c>
      <c r="D36" s="16">
        <f t="shared" si="3"/>
        <v>50000</v>
      </c>
      <c r="E36" s="19">
        <f>Sheet4!G34</f>
        <v>185908</v>
      </c>
      <c r="F36" s="20">
        <f>Sheet4!H34</f>
        <v>423162</v>
      </c>
      <c r="G36" s="21">
        <f t="shared" si="0"/>
        <v>3.7181600000000001</v>
      </c>
      <c r="H36" s="24">
        <v>34</v>
      </c>
      <c r="I36" s="15">
        <f t="shared" si="6"/>
        <v>77</v>
      </c>
      <c r="J36" s="25"/>
      <c r="K36" s="22" t="e">
        <f t="shared" si="4"/>
        <v>#REF!</v>
      </c>
      <c r="L36" s="26" t="e">
        <f>'Table 1'!#REF!</f>
        <v>#REF!</v>
      </c>
      <c r="M36" s="27" t="e">
        <f>'Table 1'!#REF!</f>
        <v>#REF!</v>
      </c>
      <c r="N36" s="28" t="e">
        <f t="shared" si="1"/>
        <v>#REF!</v>
      </c>
      <c r="O36" s="24">
        <v>34</v>
      </c>
      <c r="P36" s="15">
        <f t="shared" si="5"/>
        <v>38</v>
      </c>
      <c r="Q36" s="25">
        <v>0</v>
      </c>
      <c r="R36" s="22">
        <v>50000</v>
      </c>
      <c r="S36" s="26">
        <v>160107</v>
      </c>
      <c r="T36" s="27">
        <v>532517</v>
      </c>
      <c r="U36" s="28">
        <v>3.20214</v>
      </c>
    </row>
    <row r="37" spans="1:21" x14ac:dyDescent="0.25">
      <c r="A37" s="29">
        <v>35</v>
      </c>
      <c r="B37" s="15">
        <f t="shared" si="2"/>
        <v>39</v>
      </c>
      <c r="C37" s="18">
        <f>Sheet4!D35</f>
        <v>0</v>
      </c>
      <c r="D37" s="16">
        <f t="shared" si="3"/>
        <v>50000</v>
      </c>
      <c r="E37" s="19">
        <f>Sheet4!G35</f>
        <v>195698</v>
      </c>
      <c r="F37" s="20">
        <f>Sheet4!H35</f>
        <v>437676</v>
      </c>
      <c r="G37" s="21">
        <f t="shared" si="0"/>
        <v>3.9139599999999999</v>
      </c>
      <c r="H37" s="24">
        <v>35</v>
      </c>
      <c r="I37" s="15">
        <f t="shared" si="6"/>
        <v>78</v>
      </c>
      <c r="J37" s="25"/>
      <c r="K37" s="22" t="e">
        <f t="shared" si="4"/>
        <v>#REF!</v>
      </c>
      <c r="L37" s="26" t="e">
        <f>'Table 1'!#REF!</f>
        <v>#REF!</v>
      </c>
      <c r="M37" s="27" t="e">
        <f>'Table 1'!#REF!</f>
        <v>#REF!</v>
      </c>
      <c r="N37" s="28" t="e">
        <f t="shared" si="1"/>
        <v>#REF!</v>
      </c>
      <c r="O37" s="24">
        <v>35</v>
      </c>
      <c r="P37" s="15">
        <f t="shared" si="5"/>
        <v>39</v>
      </c>
      <c r="Q37" s="25">
        <v>0</v>
      </c>
      <c r="R37" s="22">
        <v>50000</v>
      </c>
      <c r="S37" s="26">
        <v>168099</v>
      </c>
      <c r="T37" s="27">
        <v>545016</v>
      </c>
      <c r="U37" s="28">
        <v>3.36198</v>
      </c>
    </row>
    <row r="38" spans="1:21" x14ac:dyDescent="0.25">
      <c r="A38" s="29">
        <v>36</v>
      </c>
      <c r="B38" s="15">
        <f t="shared" si="2"/>
        <v>40</v>
      </c>
      <c r="C38" s="18">
        <f>Sheet4!D36</f>
        <v>0</v>
      </c>
      <c r="D38" s="16">
        <f t="shared" si="3"/>
        <v>50000</v>
      </c>
      <c r="E38" s="19">
        <f>Sheet4!G36</f>
        <v>205989</v>
      </c>
      <c r="F38" s="20">
        <f>Sheet4!H36</f>
        <v>452702</v>
      </c>
      <c r="G38" s="21">
        <f t="shared" si="0"/>
        <v>4.1197800000000004</v>
      </c>
      <c r="H38" s="24">
        <v>36</v>
      </c>
      <c r="I38" s="15">
        <f t="shared" si="6"/>
        <v>79</v>
      </c>
      <c r="J38" s="25"/>
      <c r="K38" s="22" t="e">
        <f t="shared" si="4"/>
        <v>#REF!</v>
      </c>
      <c r="L38" s="26" t="e">
        <f>'Table 1'!#REF!</f>
        <v>#REF!</v>
      </c>
      <c r="M38" s="27" t="e">
        <f>'Table 1'!#REF!</f>
        <v>#REF!</v>
      </c>
      <c r="N38" s="28" t="e">
        <f t="shared" si="1"/>
        <v>#REF!</v>
      </c>
      <c r="O38" s="24">
        <v>36</v>
      </c>
      <c r="P38" s="15">
        <f t="shared" si="5"/>
        <v>40</v>
      </c>
      <c r="Q38" s="25">
        <v>0</v>
      </c>
      <c r="R38" s="22">
        <v>50000</v>
      </c>
      <c r="S38" s="26">
        <v>176488</v>
      </c>
      <c r="T38" s="27">
        <v>557869</v>
      </c>
      <c r="U38" s="28">
        <v>3.52976</v>
      </c>
    </row>
    <row r="39" spans="1:21" x14ac:dyDescent="0.25">
      <c r="A39" s="29">
        <v>37</v>
      </c>
      <c r="B39" s="15">
        <f t="shared" si="2"/>
        <v>41</v>
      </c>
      <c r="C39" s="18">
        <f>Sheet4!D37</f>
        <v>0</v>
      </c>
      <c r="D39" s="16">
        <f t="shared" si="3"/>
        <v>50000</v>
      </c>
      <c r="E39" s="19">
        <f>Sheet4!G37</f>
        <v>216805</v>
      </c>
      <c r="F39" s="20">
        <f>Sheet4!H37</f>
        <v>468270</v>
      </c>
      <c r="G39" s="21">
        <f t="shared" si="0"/>
        <v>4.3361000000000001</v>
      </c>
      <c r="H39" s="24">
        <v>37</v>
      </c>
      <c r="I39" s="15">
        <f t="shared" si="6"/>
        <v>80</v>
      </c>
      <c r="J39" s="25"/>
      <c r="K39" s="22" t="e">
        <f t="shared" si="4"/>
        <v>#REF!</v>
      </c>
      <c r="L39" s="26" t="e">
        <f>'Table 1'!#REF!</f>
        <v>#REF!</v>
      </c>
      <c r="M39" s="27" t="e">
        <f>'Table 1'!#REF!</f>
        <v>#REF!</v>
      </c>
      <c r="N39" s="28" t="e">
        <f t="shared" si="1"/>
        <v>#REF!</v>
      </c>
      <c r="O39" s="24">
        <v>37</v>
      </c>
      <c r="P39" s="15">
        <f t="shared" si="5"/>
        <v>41</v>
      </c>
      <c r="Q39" s="25">
        <v>0</v>
      </c>
      <c r="R39" s="22">
        <v>50000</v>
      </c>
      <c r="S39" s="26">
        <v>185272</v>
      </c>
      <c r="T39" s="27">
        <v>571069</v>
      </c>
      <c r="U39" s="28">
        <v>3.7054399999999998</v>
      </c>
    </row>
    <row r="40" spans="1:21" x14ac:dyDescent="0.25">
      <c r="A40" s="29">
        <v>38</v>
      </c>
      <c r="B40" s="15">
        <f t="shared" si="2"/>
        <v>42</v>
      </c>
      <c r="C40" s="18">
        <f>Sheet4!D38</f>
        <v>0</v>
      </c>
      <c r="D40" s="16">
        <f t="shared" si="3"/>
        <v>50000</v>
      </c>
      <c r="E40" s="19">
        <f>Sheet4!G38</f>
        <v>228177</v>
      </c>
      <c r="F40" s="20">
        <f>Sheet4!H38</f>
        <v>484390</v>
      </c>
      <c r="G40" s="21">
        <f t="shared" si="0"/>
        <v>4.5635399999999997</v>
      </c>
      <c r="H40" s="24">
        <v>38</v>
      </c>
      <c r="I40" s="15">
        <f t="shared" si="6"/>
        <v>81</v>
      </c>
      <c r="J40" s="25"/>
      <c r="K40" s="22" t="e">
        <f t="shared" si="4"/>
        <v>#REF!</v>
      </c>
      <c r="L40" s="26" t="e">
        <f>'Table 1'!#REF!</f>
        <v>#REF!</v>
      </c>
      <c r="M40" s="27" t="e">
        <f>'Table 1'!#REF!</f>
        <v>#REF!</v>
      </c>
      <c r="N40" s="28" t="e">
        <f t="shared" si="1"/>
        <v>#REF!</v>
      </c>
      <c r="O40" s="24">
        <v>38</v>
      </c>
      <c r="P40" s="15">
        <f t="shared" si="5"/>
        <v>42</v>
      </c>
      <c r="Q40" s="25">
        <v>0</v>
      </c>
      <c r="R40" s="22">
        <v>50000</v>
      </c>
      <c r="S40" s="26">
        <v>194485</v>
      </c>
      <c r="T40" s="27">
        <v>584653</v>
      </c>
      <c r="U40" s="28">
        <v>3.8896999999999999</v>
      </c>
    </row>
    <row r="41" spans="1:21" x14ac:dyDescent="0.25">
      <c r="A41" s="29">
        <v>39</v>
      </c>
      <c r="B41" s="15">
        <f t="shared" si="2"/>
        <v>43</v>
      </c>
      <c r="C41" s="18">
        <f>Sheet4!D39</f>
        <v>0</v>
      </c>
      <c r="D41" s="16">
        <f t="shared" si="3"/>
        <v>50000</v>
      </c>
      <c r="E41" s="19">
        <f>Sheet4!G39</f>
        <v>240137</v>
      </c>
      <c r="F41" s="20">
        <f>Sheet4!H39</f>
        <v>501080</v>
      </c>
      <c r="G41" s="21">
        <f t="shared" si="0"/>
        <v>4.80274</v>
      </c>
      <c r="H41" s="24">
        <v>39</v>
      </c>
      <c r="I41" s="15">
        <f t="shared" si="6"/>
        <v>82</v>
      </c>
      <c r="J41" s="25"/>
      <c r="K41" s="22" t="e">
        <f t="shared" si="4"/>
        <v>#REF!</v>
      </c>
      <c r="L41" s="26" t="e">
        <f>'Table 1'!#REF!</f>
        <v>#REF!</v>
      </c>
      <c r="M41" s="27" t="e">
        <f>'Table 1'!#REF!</f>
        <v>#REF!</v>
      </c>
      <c r="N41" s="28" t="e">
        <f t="shared" si="1"/>
        <v>#REF!</v>
      </c>
      <c r="O41" s="24">
        <v>39</v>
      </c>
      <c r="P41" s="15">
        <v>39</v>
      </c>
      <c r="Q41" s="25">
        <v>0</v>
      </c>
      <c r="R41" s="22">
        <v>50000</v>
      </c>
      <c r="S41" s="26">
        <v>204160</v>
      </c>
      <c r="T41" s="27">
        <v>598623</v>
      </c>
      <c r="U41" s="28">
        <v>4.0831999999999997</v>
      </c>
    </row>
    <row r="42" spans="1:21" x14ac:dyDescent="0.25">
      <c r="A42" s="29">
        <v>40</v>
      </c>
      <c r="B42" s="15">
        <f t="shared" si="2"/>
        <v>44</v>
      </c>
      <c r="C42" s="18">
        <f>Sheet4!D40</f>
        <v>0</v>
      </c>
      <c r="D42" s="16">
        <f t="shared" si="3"/>
        <v>50000</v>
      </c>
      <c r="E42" s="19">
        <f>Sheet4!G40</f>
        <v>252733</v>
      </c>
      <c r="F42" s="20">
        <f>Sheet4!H40</f>
        <v>518351</v>
      </c>
      <c r="G42" s="21">
        <f t="shared" si="0"/>
        <v>5.0546600000000002</v>
      </c>
      <c r="H42" s="24">
        <v>40</v>
      </c>
      <c r="I42" s="15">
        <f t="shared" si="6"/>
        <v>83</v>
      </c>
      <c r="J42" s="25"/>
      <c r="K42" s="22" t="e">
        <f t="shared" si="4"/>
        <v>#REF!</v>
      </c>
      <c r="L42" s="26" t="e">
        <f>'Table 1'!#REF!</f>
        <v>#REF!</v>
      </c>
      <c r="M42" s="27" t="e">
        <f>'Table 1'!#REF!</f>
        <v>#REF!</v>
      </c>
      <c r="N42" s="28" t="e">
        <f t="shared" si="1"/>
        <v>#REF!</v>
      </c>
      <c r="O42" s="24">
        <v>40</v>
      </c>
      <c r="P42" s="15">
        <v>40</v>
      </c>
      <c r="Q42" s="25">
        <v>0</v>
      </c>
      <c r="R42" s="22">
        <v>50000</v>
      </c>
      <c r="S42" s="26">
        <v>214344</v>
      </c>
      <c r="T42" s="27">
        <v>612954</v>
      </c>
      <c r="U42" s="28">
        <v>4.28688</v>
      </c>
    </row>
    <row r="43" spans="1:21" x14ac:dyDescent="0.25">
      <c r="A43" s="29">
        <v>41</v>
      </c>
      <c r="B43" s="15">
        <f t="shared" si="2"/>
        <v>45</v>
      </c>
      <c r="C43" s="18">
        <f>Sheet4!D41</f>
        <v>0</v>
      </c>
      <c r="D43" s="16">
        <f t="shared" si="3"/>
        <v>50000</v>
      </c>
      <c r="E43" s="19">
        <f>Sheet4!G41</f>
        <v>265988</v>
      </c>
      <c r="F43" s="20">
        <f>Sheet4!H41</f>
        <v>536213</v>
      </c>
      <c r="G43" s="21">
        <f t="shared" si="0"/>
        <v>5.3197599999999996</v>
      </c>
      <c r="H43" s="24">
        <v>41</v>
      </c>
      <c r="I43" s="15">
        <f t="shared" si="6"/>
        <v>84</v>
      </c>
      <c r="J43" s="25"/>
      <c r="K43" s="22" t="e">
        <f t="shared" si="4"/>
        <v>#REF!</v>
      </c>
      <c r="L43" s="26" t="e">
        <f>'Table 1'!#REF!</f>
        <v>#REF!</v>
      </c>
      <c r="M43" s="27" t="e">
        <f>'Table 1'!#REF!</f>
        <v>#REF!</v>
      </c>
      <c r="N43" s="28" t="e">
        <f t="shared" si="1"/>
        <v>#REF!</v>
      </c>
      <c r="O43" s="24">
        <v>41</v>
      </c>
      <c r="P43" s="15">
        <v>41</v>
      </c>
      <c r="Q43" s="25">
        <v>0</v>
      </c>
      <c r="R43" s="22">
        <v>50000</v>
      </c>
      <c r="S43" s="26">
        <v>225042</v>
      </c>
      <c r="T43" s="27">
        <v>627627</v>
      </c>
      <c r="U43" s="28">
        <v>4.5008400000000002</v>
      </c>
    </row>
    <row r="44" spans="1:21" x14ac:dyDescent="0.25">
      <c r="A44" s="29">
        <v>42</v>
      </c>
      <c r="B44" s="15">
        <f t="shared" si="2"/>
        <v>46</v>
      </c>
      <c r="C44" s="18">
        <f>Sheet4!D42</f>
        <v>0</v>
      </c>
      <c r="D44" s="16">
        <f t="shared" si="3"/>
        <v>50000</v>
      </c>
      <c r="E44" s="19">
        <f>Sheet4!G42</f>
        <v>279953</v>
      </c>
      <c r="F44" s="20">
        <f>Sheet4!H42</f>
        <v>554702</v>
      </c>
      <c r="G44" s="21">
        <f t="shared" si="0"/>
        <v>5.5990599999999997</v>
      </c>
      <c r="H44" s="24">
        <v>42</v>
      </c>
      <c r="I44" s="15">
        <f t="shared" si="6"/>
        <v>85</v>
      </c>
      <c r="J44" s="25"/>
      <c r="K44" s="22" t="e">
        <f t="shared" si="4"/>
        <v>#REF!</v>
      </c>
      <c r="L44" s="26" t="e">
        <f>'Table 1'!#REF!</f>
        <v>#REF!</v>
      </c>
      <c r="M44" s="27" t="e">
        <f>'Table 1'!#REF!</f>
        <v>#REF!</v>
      </c>
      <c r="N44" s="28" t="e">
        <f t="shared" si="1"/>
        <v>#REF!</v>
      </c>
      <c r="O44" s="24">
        <v>42</v>
      </c>
      <c r="P44" s="15">
        <v>42</v>
      </c>
      <c r="Q44" s="25">
        <v>0</v>
      </c>
      <c r="R44" s="22">
        <v>50000</v>
      </c>
      <c r="S44" s="26">
        <v>236296</v>
      </c>
      <c r="T44" s="27">
        <v>642685</v>
      </c>
      <c r="U44" s="28">
        <v>4.7259200000000003</v>
      </c>
    </row>
    <row r="45" spans="1:21" x14ac:dyDescent="0.25">
      <c r="A45" s="29">
        <v>43</v>
      </c>
      <c r="B45" s="15">
        <f t="shared" si="2"/>
        <v>47</v>
      </c>
      <c r="C45" s="18">
        <f>Sheet4!D43</f>
        <v>0</v>
      </c>
      <c r="D45" s="16">
        <f t="shared" si="3"/>
        <v>50000</v>
      </c>
      <c r="E45" s="19">
        <f>Sheet4!G43</f>
        <v>294655</v>
      </c>
      <c r="F45" s="20">
        <f>Sheet4!H43</f>
        <v>573828</v>
      </c>
      <c r="G45" s="21">
        <f t="shared" si="0"/>
        <v>5.8930999999999996</v>
      </c>
      <c r="H45" s="24">
        <v>43</v>
      </c>
      <c r="I45" s="15">
        <f t="shared" si="6"/>
        <v>86</v>
      </c>
      <c r="J45" s="25"/>
      <c r="K45" s="22" t="e">
        <f t="shared" si="4"/>
        <v>#REF!</v>
      </c>
      <c r="L45" s="26" t="e">
        <f>'Table 1'!#REF!</f>
        <v>#REF!</v>
      </c>
      <c r="M45" s="27" t="e">
        <f>'Table 1'!#REF!</f>
        <v>#REF!</v>
      </c>
      <c r="N45" s="28" t="e">
        <f t="shared" si="1"/>
        <v>#REF!</v>
      </c>
      <c r="O45" s="24">
        <v>43</v>
      </c>
      <c r="P45" s="15">
        <v>43</v>
      </c>
      <c r="Q45" s="25">
        <v>0</v>
      </c>
      <c r="R45" s="22">
        <v>50000</v>
      </c>
      <c r="S45" s="26">
        <v>248130</v>
      </c>
      <c r="T45" s="27">
        <v>658100</v>
      </c>
      <c r="U45" s="28">
        <v>4.9626000000000001</v>
      </c>
    </row>
    <row r="46" spans="1:21" x14ac:dyDescent="0.25">
      <c r="A46" s="29">
        <v>44</v>
      </c>
      <c r="B46" s="15">
        <f t="shared" si="2"/>
        <v>48</v>
      </c>
      <c r="C46" s="18">
        <f>Sheet4!D44</f>
        <v>0</v>
      </c>
      <c r="D46" s="16">
        <f t="shared" si="3"/>
        <v>50000</v>
      </c>
      <c r="E46" s="19">
        <f>Sheet4!G44</f>
        <v>310133</v>
      </c>
      <c r="F46" s="20">
        <f>Sheet4!H44</f>
        <v>593602</v>
      </c>
      <c r="G46" s="21">
        <f t="shared" si="0"/>
        <v>6.2026599999999998</v>
      </c>
      <c r="H46" s="24">
        <v>44</v>
      </c>
      <c r="I46" s="15">
        <f t="shared" si="6"/>
        <v>87</v>
      </c>
      <c r="J46" s="25"/>
      <c r="K46" s="22" t="e">
        <f t="shared" si="4"/>
        <v>#REF!</v>
      </c>
      <c r="L46" s="26" t="e">
        <f>'Table 1'!#REF!</f>
        <v>#REF!</v>
      </c>
      <c r="M46" s="27" t="e">
        <f>'Table 1'!#REF!</f>
        <v>#REF!</v>
      </c>
      <c r="N46" s="28" t="e">
        <f t="shared" si="1"/>
        <v>#REF!</v>
      </c>
      <c r="O46" s="24">
        <v>44</v>
      </c>
      <c r="P46" s="15">
        <v>44</v>
      </c>
      <c r="Q46" s="25">
        <v>0</v>
      </c>
      <c r="R46" s="22">
        <v>50000</v>
      </c>
      <c r="S46" s="26">
        <v>260572</v>
      </c>
      <c r="T46" s="27">
        <v>673888</v>
      </c>
      <c r="U46" s="28">
        <v>5.2114399999999996</v>
      </c>
    </row>
    <row r="47" spans="1:21" x14ac:dyDescent="0.25">
      <c r="A47" s="29">
        <v>45</v>
      </c>
      <c r="B47" s="15">
        <f t="shared" si="2"/>
        <v>49</v>
      </c>
      <c r="C47" s="18">
        <f>Sheet4!D45</f>
        <v>0</v>
      </c>
      <c r="D47" s="16">
        <f t="shared" si="3"/>
        <v>50000</v>
      </c>
      <c r="E47" s="19">
        <f>Sheet4!G45</f>
        <v>326430</v>
      </c>
      <c r="F47" s="20">
        <f>Sheet4!H45</f>
        <v>614051</v>
      </c>
      <c r="G47" s="21">
        <f t="shared" si="0"/>
        <v>6.5286</v>
      </c>
      <c r="H47" s="24">
        <v>45</v>
      </c>
      <c r="I47" s="15">
        <f t="shared" si="6"/>
        <v>88</v>
      </c>
      <c r="J47" s="25"/>
      <c r="K47" s="22" t="e">
        <f t="shared" si="4"/>
        <v>#REF!</v>
      </c>
      <c r="L47" s="26" t="e">
        <f>'Table 1'!#REF!</f>
        <v>#REF!</v>
      </c>
      <c r="M47" s="27" t="e">
        <f>'Table 1'!#REF!</f>
        <v>#REF!</v>
      </c>
      <c r="N47" s="28" t="e">
        <f t="shared" si="1"/>
        <v>#REF!</v>
      </c>
      <c r="O47" s="24">
        <v>45</v>
      </c>
      <c r="P47" s="15">
        <v>45</v>
      </c>
      <c r="Q47" s="25">
        <v>0</v>
      </c>
      <c r="R47" s="22">
        <v>50000</v>
      </c>
      <c r="S47" s="26">
        <v>273662</v>
      </c>
      <c r="T47" s="27">
        <v>690073</v>
      </c>
      <c r="U47" s="28">
        <v>5.4732399999999997</v>
      </c>
    </row>
    <row r="48" spans="1:21" x14ac:dyDescent="0.25">
      <c r="A48" s="29">
        <v>46</v>
      </c>
      <c r="B48" s="15">
        <f t="shared" si="2"/>
        <v>50</v>
      </c>
      <c r="C48" s="18">
        <f>Sheet4!D46</f>
        <v>0</v>
      </c>
      <c r="D48" s="16">
        <f t="shared" si="3"/>
        <v>50000</v>
      </c>
      <c r="E48" s="19">
        <f>Sheet4!G46</f>
        <v>343575</v>
      </c>
      <c r="F48" s="20">
        <f>Sheet4!H46</f>
        <v>635180</v>
      </c>
      <c r="G48" s="21">
        <f t="shared" si="0"/>
        <v>6.8715000000000002</v>
      </c>
      <c r="H48" s="24">
        <v>46</v>
      </c>
      <c r="I48" s="15">
        <f t="shared" si="6"/>
        <v>89</v>
      </c>
      <c r="J48" s="25"/>
      <c r="K48" s="22" t="e">
        <f t="shared" si="4"/>
        <v>#REF!</v>
      </c>
      <c r="L48" s="26" t="e">
        <f>'Table 1'!#REF!</f>
        <v>#REF!</v>
      </c>
      <c r="M48" s="27" t="e">
        <f>'Table 1'!#REF!</f>
        <v>#REF!</v>
      </c>
      <c r="N48" s="28" t="e">
        <f t="shared" si="1"/>
        <v>#REF!</v>
      </c>
      <c r="O48" s="24">
        <v>46</v>
      </c>
      <c r="P48" s="15">
        <v>46</v>
      </c>
      <c r="Q48" s="25">
        <v>0</v>
      </c>
      <c r="R48" s="22">
        <v>50000</v>
      </c>
      <c r="S48" s="26">
        <v>287425</v>
      </c>
      <c r="T48" s="27">
        <v>706619</v>
      </c>
      <c r="U48" s="28">
        <v>5.7484999999999999</v>
      </c>
    </row>
    <row r="49" spans="1:21" x14ac:dyDescent="0.25">
      <c r="A49" s="29">
        <v>47</v>
      </c>
      <c r="B49" s="15">
        <f t="shared" si="2"/>
        <v>51</v>
      </c>
      <c r="C49" s="18">
        <f>Sheet4!D47</f>
        <v>0</v>
      </c>
      <c r="D49" s="16">
        <f t="shared" si="3"/>
        <v>50000</v>
      </c>
      <c r="E49" s="19">
        <f>Sheet4!G47</f>
        <v>361628</v>
      </c>
      <c r="F49" s="20">
        <f>Sheet4!H47</f>
        <v>657051</v>
      </c>
      <c r="G49" s="21">
        <f t="shared" si="0"/>
        <v>7.2325600000000003</v>
      </c>
      <c r="H49" s="24">
        <v>47</v>
      </c>
      <c r="I49" s="15">
        <f t="shared" si="6"/>
        <v>90</v>
      </c>
      <c r="J49" s="25"/>
      <c r="K49" s="22" t="e">
        <f t="shared" si="4"/>
        <v>#REF!</v>
      </c>
      <c r="L49" s="26" t="e">
        <f>'Table 1'!#REF!</f>
        <v>#REF!</v>
      </c>
      <c r="M49" s="27" t="e">
        <f>'Table 1'!#REF!</f>
        <v>#REF!</v>
      </c>
      <c r="N49" s="28" t="e">
        <f t="shared" si="1"/>
        <v>#REF!</v>
      </c>
      <c r="O49" s="24">
        <v>47</v>
      </c>
      <c r="P49" s="15">
        <v>47</v>
      </c>
      <c r="Q49" s="25">
        <v>0</v>
      </c>
      <c r="R49" s="22">
        <v>50000</v>
      </c>
      <c r="S49" s="26">
        <v>301886</v>
      </c>
      <c r="T49" s="27">
        <v>723584</v>
      </c>
      <c r="U49" s="28">
        <v>6.0377200000000002</v>
      </c>
    </row>
    <row r="50" spans="1:21" x14ac:dyDescent="0.25">
      <c r="A50" s="29">
        <v>48</v>
      </c>
      <c r="B50" s="15">
        <f t="shared" si="2"/>
        <v>52</v>
      </c>
      <c r="C50" s="18">
        <f>Sheet4!D48</f>
        <v>0</v>
      </c>
      <c r="D50" s="16">
        <f t="shared" si="3"/>
        <v>50000</v>
      </c>
      <c r="E50" s="19">
        <f>Sheet4!G48</f>
        <v>380615</v>
      </c>
      <c r="F50" s="20">
        <f>Sheet4!H48</f>
        <v>679670</v>
      </c>
      <c r="G50" s="21">
        <f t="shared" si="0"/>
        <v>7.6123000000000003</v>
      </c>
      <c r="H50" s="24">
        <v>48</v>
      </c>
      <c r="I50" s="15">
        <f t="shared" si="6"/>
        <v>91</v>
      </c>
      <c r="J50" s="25"/>
      <c r="K50" s="22" t="e">
        <f t="shared" si="4"/>
        <v>#REF!</v>
      </c>
      <c r="L50" s="26" t="e">
        <f>'Table 1'!#REF!</f>
        <v>#REF!</v>
      </c>
      <c r="M50" s="27" t="e">
        <f>'Table 1'!#REF!</f>
        <v>#REF!</v>
      </c>
      <c r="N50" s="28" t="e">
        <f t="shared" si="1"/>
        <v>#REF!</v>
      </c>
      <c r="O50" s="24">
        <v>48</v>
      </c>
      <c r="P50" s="15">
        <v>48</v>
      </c>
      <c r="Q50" s="25">
        <v>0</v>
      </c>
      <c r="R50" s="22">
        <v>50000</v>
      </c>
      <c r="S50" s="26">
        <v>317078</v>
      </c>
      <c r="T50" s="27">
        <v>740975</v>
      </c>
      <c r="U50" s="28">
        <v>6.3415600000000003</v>
      </c>
    </row>
    <row r="51" spans="1:21" x14ac:dyDescent="0.25">
      <c r="A51" s="29">
        <v>49</v>
      </c>
      <c r="B51" s="15">
        <f t="shared" si="2"/>
        <v>53</v>
      </c>
      <c r="C51" s="18">
        <f>Sheet4!D49</f>
        <v>0</v>
      </c>
      <c r="D51" s="16">
        <f t="shared" si="3"/>
        <v>50000</v>
      </c>
      <c r="E51" s="19">
        <f>Sheet4!G49</f>
        <v>400574</v>
      </c>
      <c r="F51" s="20">
        <f>Sheet4!H49</f>
        <v>703070</v>
      </c>
      <c r="G51" s="21">
        <f t="shared" si="0"/>
        <v>8.0114800000000006</v>
      </c>
      <c r="H51" s="24">
        <v>49</v>
      </c>
      <c r="I51" s="15">
        <f t="shared" si="6"/>
        <v>92</v>
      </c>
      <c r="J51" s="25"/>
      <c r="K51" s="22" t="e">
        <f t="shared" si="4"/>
        <v>#REF!</v>
      </c>
      <c r="L51" s="26" t="e">
        <f>'Table 1'!#REF!</f>
        <v>#REF!</v>
      </c>
      <c r="M51" s="27" t="e">
        <f>'Table 1'!#REF!</f>
        <v>#REF!</v>
      </c>
      <c r="N51" s="28" t="e">
        <f t="shared" si="1"/>
        <v>#REF!</v>
      </c>
      <c r="O51" s="24">
        <v>49</v>
      </c>
      <c r="P51" s="15">
        <v>49</v>
      </c>
      <c r="Q51" s="25">
        <v>0</v>
      </c>
      <c r="R51" s="22">
        <v>50000</v>
      </c>
      <c r="S51" s="26">
        <v>333012</v>
      </c>
      <c r="T51" s="27">
        <v>758794</v>
      </c>
      <c r="U51" s="28">
        <v>6.6602399999999999</v>
      </c>
    </row>
    <row r="52" spans="1:21" x14ac:dyDescent="0.25">
      <c r="A52" s="29">
        <v>50</v>
      </c>
      <c r="B52" s="15">
        <f t="shared" si="2"/>
        <v>54</v>
      </c>
      <c r="C52" s="18">
        <f>Sheet4!D50</f>
        <v>0</v>
      </c>
      <c r="D52" s="16">
        <f t="shared" si="3"/>
        <v>50000</v>
      </c>
      <c r="E52" s="19">
        <f>Sheet4!G50</f>
        <v>421557</v>
      </c>
      <c r="F52" s="20">
        <f>Sheet4!H50</f>
        <v>727274</v>
      </c>
      <c r="G52" s="21">
        <f t="shared" si="0"/>
        <v>8.4311399999999992</v>
      </c>
      <c r="H52" s="24">
        <v>50</v>
      </c>
      <c r="I52" s="15">
        <f t="shared" si="6"/>
        <v>93</v>
      </c>
      <c r="J52" s="25"/>
      <c r="K52" s="22" t="e">
        <f t="shared" si="4"/>
        <v>#REF!</v>
      </c>
      <c r="L52" s="26" t="e">
        <f>'Table 1'!#REF!</f>
        <v>#REF!</v>
      </c>
      <c r="M52" s="27" t="e">
        <f>'Table 1'!#REF!</f>
        <v>#REF!</v>
      </c>
      <c r="N52" s="28" t="e">
        <f t="shared" si="1"/>
        <v>#REF!</v>
      </c>
      <c r="O52" s="24">
        <v>50</v>
      </c>
      <c r="P52" s="15">
        <v>50</v>
      </c>
      <c r="Q52" s="25">
        <v>0</v>
      </c>
      <c r="R52" s="22">
        <v>50000</v>
      </c>
      <c r="S52" s="26">
        <v>349716</v>
      </c>
      <c r="T52" s="27">
        <v>777060</v>
      </c>
      <c r="U52" s="28">
        <v>6.9943200000000001</v>
      </c>
    </row>
    <row r="53" spans="1:21" x14ac:dyDescent="0.25">
      <c r="A53" s="29">
        <v>51</v>
      </c>
      <c r="B53" s="15">
        <f t="shared" si="2"/>
        <v>55</v>
      </c>
      <c r="C53" s="18">
        <f>Sheet4!D51</f>
        <v>0</v>
      </c>
      <c r="D53" s="16">
        <f t="shared" si="3"/>
        <v>50000</v>
      </c>
      <c r="E53" s="19">
        <f>Sheet4!G51</f>
        <v>443618</v>
      </c>
      <c r="F53" s="20">
        <f>Sheet4!H51</f>
        <v>752328</v>
      </c>
      <c r="G53" s="21">
        <f t="shared" si="0"/>
        <v>8.8723600000000005</v>
      </c>
      <c r="H53" s="24">
        <v>51</v>
      </c>
      <c r="I53" s="15">
        <f t="shared" si="6"/>
        <v>94</v>
      </c>
      <c r="J53" s="25"/>
      <c r="K53" s="22" t="e">
        <f t="shared" si="4"/>
        <v>#REF!</v>
      </c>
      <c r="L53" s="26" t="e">
        <f>'Table 1'!#REF!</f>
        <v>#REF!</v>
      </c>
      <c r="M53" s="27" t="e">
        <f>'Table 1'!#REF!</f>
        <v>#REF!</v>
      </c>
      <c r="N53" s="28" t="e">
        <f t="shared" si="1"/>
        <v>#REF!</v>
      </c>
      <c r="O53" s="24">
        <v>51</v>
      </c>
      <c r="P53" s="15">
        <v>51</v>
      </c>
      <c r="Q53" s="25">
        <v>0</v>
      </c>
      <c r="R53" s="22">
        <v>50000</v>
      </c>
      <c r="S53" s="26">
        <v>367242</v>
      </c>
      <c r="T53" s="27">
        <v>795792</v>
      </c>
      <c r="U53" s="28">
        <v>7.3448399999999996</v>
      </c>
    </row>
    <row r="54" spans="1:21" x14ac:dyDescent="0.25">
      <c r="A54" s="29">
        <v>52</v>
      </c>
      <c r="B54" s="15">
        <f t="shared" si="2"/>
        <v>56</v>
      </c>
      <c r="C54" s="18">
        <f>Sheet4!D52</f>
        <v>0</v>
      </c>
      <c r="D54" s="16">
        <f t="shared" si="3"/>
        <v>50000</v>
      </c>
      <c r="E54" s="19">
        <f>Sheet4!G52</f>
        <v>466806</v>
      </c>
      <c r="F54" s="20">
        <f>Sheet4!H52</f>
        <v>778282</v>
      </c>
      <c r="G54" s="21">
        <f t="shared" si="0"/>
        <v>9.3361199999999993</v>
      </c>
      <c r="H54" s="24">
        <v>52</v>
      </c>
      <c r="I54" s="15">
        <f t="shared" si="6"/>
        <v>95</v>
      </c>
      <c r="J54" s="25"/>
      <c r="K54" s="22" t="e">
        <f t="shared" si="4"/>
        <v>#REF!</v>
      </c>
      <c r="L54" s="26" t="e">
        <f>'Table 1'!#REF!</f>
        <v>#REF!</v>
      </c>
      <c r="M54" s="27" t="e">
        <f>'Table 1'!#REF!</f>
        <v>#REF!</v>
      </c>
      <c r="N54" s="28" t="e">
        <f t="shared" si="1"/>
        <v>#REF!</v>
      </c>
      <c r="O54" s="24">
        <v>52</v>
      </c>
      <c r="P54" s="15">
        <v>52</v>
      </c>
      <c r="Q54" s="25">
        <v>0</v>
      </c>
      <c r="R54" s="22">
        <v>50000</v>
      </c>
      <c r="S54" s="26">
        <v>385625</v>
      </c>
      <c r="T54" s="27">
        <v>815052</v>
      </c>
      <c r="U54" s="28">
        <v>7.7125000000000004</v>
      </c>
    </row>
    <row r="55" spans="1:21" ht="16.5" thickBot="1" x14ac:dyDescent="0.3">
      <c r="A55" s="31">
        <v>53</v>
      </c>
      <c r="B55" s="30">
        <f t="shared" si="2"/>
        <v>57</v>
      </c>
      <c r="C55" s="18">
        <f>Sheet4!D53</f>
        <v>0</v>
      </c>
      <c r="D55" s="16">
        <f t="shared" si="3"/>
        <v>50000</v>
      </c>
      <c r="E55" s="19">
        <f>Sheet4!G53</f>
        <v>491189</v>
      </c>
      <c r="F55" s="20">
        <f>Sheet4!H53</f>
        <v>805189</v>
      </c>
      <c r="G55" s="21">
        <f t="shared" si="0"/>
        <v>9.8237799999999993</v>
      </c>
      <c r="H55" s="24">
        <v>53</v>
      </c>
      <c r="I55" s="15">
        <f t="shared" si="6"/>
        <v>96</v>
      </c>
      <c r="J55" s="25"/>
      <c r="K55" s="22" t="e">
        <f t="shared" si="4"/>
        <v>#REF!</v>
      </c>
      <c r="L55" s="26" t="e">
        <f>'Table 1'!#REF!</f>
        <v>#REF!</v>
      </c>
      <c r="M55" s="27" t="e">
        <f>'Table 1'!#REF!</f>
        <v>#REF!</v>
      </c>
      <c r="N55" s="28" t="e">
        <f t="shared" si="1"/>
        <v>#REF!</v>
      </c>
      <c r="O55" s="24">
        <v>53</v>
      </c>
      <c r="P55" s="15">
        <v>53</v>
      </c>
      <c r="Q55" s="25">
        <v>0</v>
      </c>
      <c r="R55" s="22">
        <v>50000</v>
      </c>
      <c r="S55" s="26">
        <v>404923</v>
      </c>
      <c r="T55" s="27">
        <v>834894</v>
      </c>
      <c r="U55" s="28">
        <v>8.0984599999999993</v>
      </c>
    </row>
  </sheetData>
  <mergeCells count="3">
    <mergeCell ref="A1:G1"/>
    <mergeCell ref="H1:N1"/>
    <mergeCell ref="O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6479-EBD2-42FE-87F1-6AE6701F804D}">
  <dimension ref="A1:H119"/>
  <sheetViews>
    <sheetView workbookViewId="0">
      <selection activeCell="I5" sqref="I5"/>
    </sheetView>
  </sheetViews>
  <sheetFormatPr defaultRowHeight="15" x14ac:dyDescent="0.25"/>
  <sheetData>
    <row r="1" spans="1:8" x14ac:dyDescent="0.25">
      <c r="A1">
        <v>1</v>
      </c>
      <c r="B1" s="1">
        <v>5</v>
      </c>
      <c r="C1" s="2">
        <v>5000</v>
      </c>
      <c r="D1" s="2">
        <v>5000</v>
      </c>
      <c r="E1" s="1">
        <v>150</v>
      </c>
      <c r="F1" s="1">
        <v>150</v>
      </c>
      <c r="G1" s="2">
        <v>1849</v>
      </c>
      <c r="H1" s="2">
        <v>156927</v>
      </c>
    </row>
    <row r="2" spans="1:8" x14ac:dyDescent="0.25">
      <c r="A2" s="3">
        <v>2</v>
      </c>
      <c r="B2" s="3">
        <v>6</v>
      </c>
      <c r="C2" s="4">
        <v>5000</v>
      </c>
      <c r="D2" s="4">
        <v>5000</v>
      </c>
      <c r="E2" s="3">
        <v>274</v>
      </c>
      <c r="F2" s="3">
        <v>427</v>
      </c>
      <c r="G2" s="4">
        <v>5100</v>
      </c>
      <c r="H2" s="4">
        <v>158052</v>
      </c>
    </row>
    <row r="3" spans="1:8" x14ac:dyDescent="0.25">
      <c r="A3" s="1">
        <v>3</v>
      </c>
      <c r="B3" s="1">
        <v>7</v>
      </c>
      <c r="C3" s="2">
        <v>5000</v>
      </c>
      <c r="D3" s="2">
        <v>5000</v>
      </c>
      <c r="E3" s="1">
        <v>407</v>
      </c>
      <c r="F3" s="1">
        <v>842</v>
      </c>
      <c r="G3" s="2">
        <v>10153</v>
      </c>
      <c r="H3" s="2">
        <v>159691</v>
      </c>
    </row>
    <row r="4" spans="1:8" x14ac:dyDescent="0.25">
      <c r="A4" s="3">
        <v>4</v>
      </c>
      <c r="B4" s="3">
        <v>8</v>
      </c>
      <c r="C4" s="4">
        <v>5000</v>
      </c>
      <c r="D4" s="4">
        <v>5000</v>
      </c>
      <c r="E4" s="3">
        <v>547</v>
      </c>
      <c r="F4" s="4">
        <v>1406</v>
      </c>
      <c r="G4" s="4">
        <v>15446</v>
      </c>
      <c r="H4" s="4">
        <v>161853</v>
      </c>
    </row>
    <row r="5" spans="1:8" x14ac:dyDescent="0.25">
      <c r="A5" s="1">
        <v>5</v>
      </c>
      <c r="B5" s="1">
        <v>9</v>
      </c>
      <c r="C5" s="2">
        <v>5000</v>
      </c>
      <c r="D5" s="2">
        <v>5000</v>
      </c>
      <c r="E5" s="1">
        <v>695</v>
      </c>
      <c r="F5" s="2">
        <v>2128</v>
      </c>
      <c r="G5" s="2">
        <v>20995</v>
      </c>
      <c r="H5" s="2">
        <v>164544</v>
      </c>
    </row>
    <row r="6" spans="1:8" x14ac:dyDescent="0.25">
      <c r="A6" s="3">
        <v>6</v>
      </c>
      <c r="B6" s="3">
        <v>10</v>
      </c>
      <c r="C6" s="4">
        <v>5000</v>
      </c>
      <c r="D6" s="4">
        <v>5000</v>
      </c>
      <c r="E6" s="3">
        <v>892</v>
      </c>
      <c r="F6" s="4">
        <v>3063</v>
      </c>
      <c r="G6" s="4">
        <v>26853</v>
      </c>
      <c r="H6" s="4">
        <v>167934</v>
      </c>
    </row>
    <row r="7" spans="1:8" x14ac:dyDescent="0.25">
      <c r="A7" s="1">
        <v>7</v>
      </c>
      <c r="B7" s="1">
        <v>11</v>
      </c>
      <c r="C7" s="2">
        <v>5000</v>
      </c>
      <c r="D7" s="2">
        <v>5000</v>
      </c>
      <c r="E7" s="2">
        <v>1101</v>
      </c>
      <c r="F7" s="2">
        <v>4224</v>
      </c>
      <c r="G7" s="2">
        <v>33036</v>
      </c>
      <c r="H7" s="2">
        <v>172035</v>
      </c>
    </row>
    <row r="8" spans="1:8" x14ac:dyDescent="0.25">
      <c r="A8" s="3">
        <v>8</v>
      </c>
      <c r="B8" s="3">
        <v>12</v>
      </c>
      <c r="C8" s="4">
        <v>5000</v>
      </c>
      <c r="D8" s="4">
        <v>5000</v>
      </c>
      <c r="E8" s="4">
        <v>1325</v>
      </c>
      <c r="F8" s="4">
        <v>5632</v>
      </c>
      <c r="G8" s="4">
        <v>39566</v>
      </c>
      <c r="H8" s="4">
        <v>176873</v>
      </c>
    </row>
    <row r="9" spans="1:8" x14ac:dyDescent="0.25">
      <c r="A9" s="1">
        <v>9</v>
      </c>
      <c r="B9" s="1">
        <v>13</v>
      </c>
      <c r="C9" s="2">
        <v>5000</v>
      </c>
      <c r="D9" s="2">
        <v>5000</v>
      </c>
      <c r="E9" s="2">
        <v>1555</v>
      </c>
      <c r="F9" s="2">
        <v>7297</v>
      </c>
      <c r="G9" s="2">
        <v>46453</v>
      </c>
      <c r="H9" s="2">
        <v>182444</v>
      </c>
    </row>
    <row r="10" spans="1:8" x14ac:dyDescent="0.25">
      <c r="A10" s="3">
        <v>10</v>
      </c>
      <c r="B10" s="3">
        <v>14</v>
      </c>
      <c r="C10" s="4">
        <v>5000</v>
      </c>
      <c r="D10" s="4">
        <v>5000</v>
      </c>
      <c r="E10" s="4">
        <v>1801</v>
      </c>
      <c r="F10" s="4">
        <v>9241</v>
      </c>
      <c r="G10" s="4">
        <v>53721</v>
      </c>
      <c r="H10" s="4">
        <v>188771</v>
      </c>
    </row>
    <row r="11" spans="1:8" x14ac:dyDescent="0.25">
      <c r="A11" s="1">
        <v>11</v>
      </c>
      <c r="B11" s="1">
        <v>15</v>
      </c>
      <c r="C11" s="1">
        <v>0</v>
      </c>
      <c r="D11" s="1">
        <v>0</v>
      </c>
      <c r="E11" s="2">
        <v>1849</v>
      </c>
      <c r="F11" s="2">
        <v>11269</v>
      </c>
      <c r="G11" s="2">
        <v>56612</v>
      </c>
      <c r="H11" s="2">
        <v>195146</v>
      </c>
    </row>
    <row r="12" spans="1:8" x14ac:dyDescent="0.25">
      <c r="A12" s="3">
        <v>12</v>
      </c>
      <c r="B12" s="3">
        <v>16</v>
      </c>
      <c r="C12" s="3">
        <v>0</v>
      </c>
      <c r="D12" s="3">
        <v>0</v>
      </c>
      <c r="E12" s="4">
        <v>1955</v>
      </c>
      <c r="F12" s="4">
        <v>13441</v>
      </c>
      <c r="G12" s="4">
        <v>59652</v>
      </c>
      <c r="H12" s="4">
        <v>201759</v>
      </c>
    </row>
    <row r="13" spans="1:8" x14ac:dyDescent="0.25">
      <c r="A13" s="1">
        <v>13</v>
      </c>
      <c r="B13" s="1">
        <v>17</v>
      </c>
      <c r="C13" s="1">
        <v>0</v>
      </c>
      <c r="D13" s="1">
        <v>0</v>
      </c>
      <c r="E13" s="2">
        <v>2068</v>
      </c>
      <c r="F13" s="2">
        <v>15761</v>
      </c>
      <c r="G13" s="2">
        <v>62840</v>
      </c>
      <c r="H13" s="2">
        <v>208624</v>
      </c>
    </row>
    <row r="14" spans="1:8" x14ac:dyDescent="0.25">
      <c r="A14" s="3">
        <v>14</v>
      </c>
      <c r="B14" s="3">
        <v>18</v>
      </c>
      <c r="C14" s="3">
        <v>0</v>
      </c>
      <c r="D14" s="3">
        <v>0</v>
      </c>
      <c r="E14" s="4">
        <v>2189</v>
      </c>
      <c r="F14" s="4">
        <v>18240</v>
      </c>
      <c r="G14" s="4">
        <v>66184</v>
      </c>
      <c r="H14" s="4">
        <v>215760</v>
      </c>
    </row>
    <row r="15" spans="1:8" x14ac:dyDescent="0.25">
      <c r="A15" s="1">
        <v>15</v>
      </c>
      <c r="B15" s="1">
        <v>19</v>
      </c>
      <c r="C15" s="1">
        <v>0</v>
      </c>
      <c r="D15" s="1">
        <v>0</v>
      </c>
      <c r="E15" s="2">
        <v>2301</v>
      </c>
      <c r="F15" s="2">
        <v>20871</v>
      </c>
      <c r="G15" s="2">
        <v>69685</v>
      </c>
      <c r="H15" s="2">
        <v>223127</v>
      </c>
    </row>
    <row r="16" spans="1:8" x14ac:dyDescent="0.25">
      <c r="A16" s="3">
        <v>16</v>
      </c>
      <c r="B16" s="3">
        <v>20</v>
      </c>
      <c r="C16" s="3">
        <v>0</v>
      </c>
      <c r="D16" s="3">
        <v>0</v>
      </c>
      <c r="E16" s="4">
        <v>2428</v>
      </c>
      <c r="F16" s="4">
        <v>23677</v>
      </c>
      <c r="G16" s="4">
        <v>73374</v>
      </c>
      <c r="H16" s="4">
        <v>230763</v>
      </c>
    </row>
    <row r="17" spans="1:8" x14ac:dyDescent="0.25">
      <c r="A17" s="1">
        <v>17</v>
      </c>
      <c r="B17" s="1">
        <v>21</v>
      </c>
      <c r="C17" s="1">
        <v>0</v>
      </c>
      <c r="D17" s="1">
        <v>0</v>
      </c>
      <c r="E17" s="2">
        <v>2561</v>
      </c>
      <c r="F17" s="2">
        <v>26665</v>
      </c>
      <c r="G17" s="2">
        <v>77259</v>
      </c>
      <c r="H17" s="2">
        <v>238674</v>
      </c>
    </row>
    <row r="18" spans="1:8" x14ac:dyDescent="0.25">
      <c r="A18" s="3">
        <v>18</v>
      </c>
      <c r="B18" s="3">
        <v>22</v>
      </c>
      <c r="C18" s="3">
        <v>0</v>
      </c>
      <c r="D18" s="3">
        <v>0</v>
      </c>
      <c r="E18" s="4">
        <v>2698</v>
      </c>
      <c r="F18" s="4">
        <v>29844</v>
      </c>
      <c r="G18" s="4">
        <v>81351</v>
      </c>
      <c r="H18" s="4">
        <v>246861</v>
      </c>
    </row>
    <row r="19" spans="1:8" x14ac:dyDescent="0.25">
      <c r="A19" s="1">
        <v>19</v>
      </c>
      <c r="B19" s="1">
        <v>23</v>
      </c>
      <c r="C19" s="1">
        <v>0</v>
      </c>
      <c r="D19" s="1">
        <v>0</v>
      </c>
      <c r="E19" s="2">
        <v>2847</v>
      </c>
      <c r="F19" s="2">
        <v>33230</v>
      </c>
      <c r="G19" s="2">
        <v>85667</v>
      </c>
      <c r="H19" s="2">
        <v>255349</v>
      </c>
    </row>
    <row r="20" spans="1:8" x14ac:dyDescent="0.25">
      <c r="A20" s="3">
        <v>20</v>
      </c>
      <c r="B20" s="3">
        <v>24</v>
      </c>
      <c r="C20" s="3">
        <v>0</v>
      </c>
      <c r="D20" s="3">
        <v>0</v>
      </c>
      <c r="E20" s="4">
        <v>2999</v>
      </c>
      <c r="F20" s="4">
        <v>36829</v>
      </c>
      <c r="G20" s="4">
        <v>90211</v>
      </c>
      <c r="H20" s="4">
        <v>264130</v>
      </c>
    </row>
    <row r="21" spans="1:8" x14ac:dyDescent="0.25">
      <c r="A21" s="1">
        <v>21</v>
      </c>
      <c r="B21" s="1">
        <v>25</v>
      </c>
      <c r="C21" s="1">
        <v>0</v>
      </c>
      <c r="D21" s="1">
        <v>0</v>
      </c>
      <c r="E21" s="2">
        <v>3158</v>
      </c>
      <c r="F21" s="2">
        <v>40649</v>
      </c>
      <c r="G21" s="2">
        <v>94993</v>
      </c>
      <c r="H21" s="2">
        <v>273212</v>
      </c>
    </row>
    <row r="22" spans="1:8" x14ac:dyDescent="0.25">
      <c r="A22" s="3">
        <v>22</v>
      </c>
      <c r="B22" s="3">
        <v>26</v>
      </c>
      <c r="C22" s="3">
        <v>0</v>
      </c>
      <c r="D22" s="3">
        <v>0</v>
      </c>
      <c r="E22" s="4">
        <v>3328</v>
      </c>
      <c r="F22" s="4">
        <v>44710</v>
      </c>
      <c r="G22" s="4">
        <v>100034</v>
      </c>
      <c r="H22" s="4">
        <v>282614</v>
      </c>
    </row>
    <row r="23" spans="1:8" x14ac:dyDescent="0.25">
      <c r="A23" s="1">
        <v>23</v>
      </c>
      <c r="B23" s="1">
        <v>27</v>
      </c>
      <c r="C23" s="1">
        <v>0</v>
      </c>
      <c r="D23" s="1">
        <v>0</v>
      </c>
      <c r="E23" s="2">
        <v>3500</v>
      </c>
      <c r="F23" s="2">
        <v>49018</v>
      </c>
      <c r="G23" s="2">
        <v>105340</v>
      </c>
      <c r="H23" s="2">
        <v>292328</v>
      </c>
    </row>
    <row r="24" spans="1:8" x14ac:dyDescent="0.25">
      <c r="A24" s="3">
        <v>24</v>
      </c>
      <c r="B24" s="3">
        <v>28</v>
      </c>
      <c r="C24" s="3">
        <v>0</v>
      </c>
      <c r="D24" s="3">
        <v>0</v>
      </c>
      <c r="E24" s="4">
        <v>3679</v>
      </c>
      <c r="F24" s="4">
        <v>53588</v>
      </c>
      <c r="G24" s="4">
        <v>110934</v>
      </c>
      <c r="H24" s="4">
        <v>302355</v>
      </c>
    </row>
    <row r="25" spans="1:8" x14ac:dyDescent="0.25">
      <c r="A25" s="1">
        <v>25</v>
      </c>
      <c r="B25" s="1">
        <v>29</v>
      </c>
      <c r="C25" s="1">
        <v>0</v>
      </c>
      <c r="D25" s="1">
        <v>0</v>
      </c>
      <c r="E25" s="2">
        <v>3868</v>
      </c>
      <c r="F25" s="2">
        <v>58433</v>
      </c>
      <c r="G25" s="2">
        <v>116825</v>
      </c>
      <c r="H25" s="2">
        <v>312710</v>
      </c>
    </row>
    <row r="26" spans="1:8" x14ac:dyDescent="0.25">
      <c r="A26" s="3">
        <v>26</v>
      </c>
      <c r="B26" s="3">
        <v>30</v>
      </c>
      <c r="C26" s="3">
        <v>0</v>
      </c>
      <c r="D26" s="3">
        <v>0</v>
      </c>
      <c r="E26" s="4">
        <v>4069</v>
      </c>
      <c r="F26" s="4">
        <v>63573</v>
      </c>
      <c r="G26" s="4">
        <v>123033</v>
      </c>
      <c r="H26" s="4">
        <v>323406</v>
      </c>
    </row>
    <row r="27" spans="1:8" x14ac:dyDescent="0.25">
      <c r="A27" s="1">
        <v>27</v>
      </c>
      <c r="B27" s="1">
        <v>31</v>
      </c>
      <c r="C27" s="1">
        <v>0</v>
      </c>
      <c r="D27" s="1">
        <v>0</v>
      </c>
      <c r="E27" s="2">
        <v>4279</v>
      </c>
      <c r="F27" s="2">
        <v>69020</v>
      </c>
      <c r="G27" s="2">
        <v>129573</v>
      </c>
      <c r="H27" s="2">
        <v>334451</v>
      </c>
    </row>
    <row r="28" spans="1:8" x14ac:dyDescent="0.25">
      <c r="A28" s="3">
        <v>28</v>
      </c>
      <c r="B28" s="3">
        <v>32</v>
      </c>
      <c r="C28" s="3">
        <v>0</v>
      </c>
      <c r="D28" s="3">
        <v>0</v>
      </c>
      <c r="E28" s="4">
        <v>4507</v>
      </c>
      <c r="F28" s="4">
        <v>74793</v>
      </c>
      <c r="G28" s="4">
        <v>136458</v>
      </c>
      <c r="H28" s="4">
        <v>345875</v>
      </c>
    </row>
    <row r="29" spans="1:8" x14ac:dyDescent="0.25">
      <c r="A29" s="1">
        <v>29</v>
      </c>
      <c r="B29" s="1">
        <v>33</v>
      </c>
      <c r="C29" s="1">
        <v>0</v>
      </c>
      <c r="D29" s="1">
        <v>0</v>
      </c>
      <c r="E29" s="2">
        <v>4748</v>
      </c>
      <c r="F29" s="2">
        <v>80908</v>
      </c>
      <c r="G29" s="2">
        <v>143700</v>
      </c>
      <c r="H29" s="2">
        <v>357694</v>
      </c>
    </row>
    <row r="30" spans="1:8" x14ac:dyDescent="0.25">
      <c r="A30" s="3">
        <v>30</v>
      </c>
      <c r="B30" s="3">
        <v>34</v>
      </c>
      <c r="C30" s="3">
        <v>0</v>
      </c>
      <c r="D30" s="3">
        <v>0</v>
      </c>
      <c r="E30" s="4">
        <v>4999</v>
      </c>
      <c r="F30" s="4">
        <v>87381</v>
      </c>
      <c r="G30" s="4">
        <v>151317</v>
      </c>
      <c r="H30" s="4">
        <v>369914</v>
      </c>
    </row>
    <row r="31" spans="1:8" x14ac:dyDescent="0.25">
      <c r="A31" s="1">
        <v>31</v>
      </c>
      <c r="B31" s="1">
        <v>35</v>
      </c>
      <c r="C31" s="1">
        <v>0</v>
      </c>
      <c r="D31" s="1">
        <v>0</v>
      </c>
      <c r="E31" s="2">
        <v>5263</v>
      </c>
      <c r="F31" s="2">
        <v>94232</v>
      </c>
      <c r="G31" s="2">
        <v>159329</v>
      </c>
      <c r="H31" s="2">
        <v>382551</v>
      </c>
    </row>
    <row r="32" spans="1:8" x14ac:dyDescent="0.25">
      <c r="A32" s="3">
        <v>32</v>
      </c>
      <c r="B32" s="3">
        <v>36</v>
      </c>
      <c r="C32" s="3">
        <v>0</v>
      </c>
      <c r="D32" s="3">
        <v>0</v>
      </c>
      <c r="E32" s="4">
        <v>5543</v>
      </c>
      <c r="F32" s="4">
        <v>101476</v>
      </c>
      <c r="G32" s="4">
        <v>167749</v>
      </c>
      <c r="H32" s="4">
        <v>395624</v>
      </c>
    </row>
    <row r="33" spans="1:8" x14ac:dyDescent="0.25">
      <c r="A33" s="1">
        <v>33</v>
      </c>
      <c r="B33" s="1">
        <v>37</v>
      </c>
      <c r="C33" s="1">
        <v>0</v>
      </c>
      <c r="D33" s="1">
        <v>0</v>
      </c>
      <c r="E33" s="2">
        <v>5843</v>
      </c>
      <c r="F33" s="2">
        <v>109143</v>
      </c>
      <c r="G33" s="2">
        <v>176606</v>
      </c>
      <c r="H33" s="2">
        <v>409161</v>
      </c>
    </row>
    <row r="34" spans="1:8" x14ac:dyDescent="0.25">
      <c r="A34" s="3">
        <v>34</v>
      </c>
      <c r="B34" s="3">
        <v>38</v>
      </c>
      <c r="C34" s="3">
        <v>0</v>
      </c>
      <c r="D34" s="3">
        <v>0</v>
      </c>
      <c r="E34" s="4">
        <v>6151</v>
      </c>
      <c r="F34" s="4">
        <v>117241</v>
      </c>
      <c r="G34" s="4">
        <v>185908</v>
      </c>
      <c r="H34" s="4">
        <v>423162</v>
      </c>
    </row>
    <row r="35" spans="1:8" x14ac:dyDescent="0.25">
      <c r="A35" s="1">
        <v>35</v>
      </c>
      <c r="B35" s="1">
        <v>39</v>
      </c>
      <c r="C35" s="1">
        <v>0</v>
      </c>
      <c r="D35" s="1">
        <v>0</v>
      </c>
      <c r="E35" s="2">
        <v>6490</v>
      </c>
      <c r="F35" s="2">
        <v>125812</v>
      </c>
      <c r="G35" s="2">
        <v>195698</v>
      </c>
      <c r="H35" s="2">
        <v>437676</v>
      </c>
    </row>
    <row r="36" spans="1:8" x14ac:dyDescent="0.25">
      <c r="A36" s="3">
        <v>36</v>
      </c>
      <c r="B36" s="3">
        <v>40</v>
      </c>
      <c r="C36" s="3">
        <v>0</v>
      </c>
      <c r="D36" s="3">
        <v>0</v>
      </c>
      <c r="E36" s="4">
        <v>6837</v>
      </c>
      <c r="F36" s="4">
        <v>134869</v>
      </c>
      <c r="G36" s="4">
        <v>205989</v>
      </c>
      <c r="H36" s="4">
        <v>452702</v>
      </c>
    </row>
    <row r="37" spans="1:8" x14ac:dyDescent="0.25">
      <c r="A37" s="1">
        <v>37</v>
      </c>
      <c r="B37" s="1">
        <v>41</v>
      </c>
      <c r="C37" s="1">
        <v>0</v>
      </c>
      <c r="D37" s="1">
        <v>0</v>
      </c>
      <c r="E37" s="2">
        <v>7208</v>
      </c>
      <c r="F37" s="2">
        <v>144440</v>
      </c>
      <c r="G37" s="2">
        <v>216805</v>
      </c>
      <c r="H37" s="2">
        <v>468270</v>
      </c>
    </row>
    <row r="38" spans="1:8" x14ac:dyDescent="0.25">
      <c r="A38" s="3">
        <v>38</v>
      </c>
      <c r="B38" s="3">
        <v>42</v>
      </c>
      <c r="C38" s="3">
        <v>0</v>
      </c>
      <c r="D38" s="3">
        <v>0</v>
      </c>
      <c r="E38" s="4">
        <v>7593</v>
      </c>
      <c r="F38" s="4">
        <v>154551</v>
      </c>
      <c r="G38" s="4">
        <v>228177</v>
      </c>
      <c r="H38" s="4">
        <v>484390</v>
      </c>
    </row>
    <row r="39" spans="1:8" x14ac:dyDescent="0.25">
      <c r="A39" s="1">
        <v>39</v>
      </c>
      <c r="B39" s="1">
        <v>43</v>
      </c>
      <c r="C39" s="1">
        <v>0</v>
      </c>
      <c r="D39" s="1">
        <v>0</v>
      </c>
      <c r="E39" s="2">
        <v>7998</v>
      </c>
      <c r="F39" s="2">
        <v>165233</v>
      </c>
      <c r="G39" s="2">
        <v>240137</v>
      </c>
      <c r="H39" s="2">
        <v>501080</v>
      </c>
    </row>
    <row r="40" spans="1:8" x14ac:dyDescent="0.25">
      <c r="A40" s="3">
        <v>40</v>
      </c>
      <c r="B40" s="3">
        <v>44</v>
      </c>
      <c r="C40" s="3">
        <v>0</v>
      </c>
      <c r="D40" s="3">
        <v>0</v>
      </c>
      <c r="E40" s="4">
        <v>8421</v>
      </c>
      <c r="F40" s="4">
        <v>176526</v>
      </c>
      <c r="G40" s="4">
        <v>252733</v>
      </c>
      <c r="H40" s="4">
        <v>518351</v>
      </c>
    </row>
    <row r="41" spans="1:8" x14ac:dyDescent="0.25">
      <c r="A41" s="1">
        <v>41</v>
      </c>
      <c r="B41" s="1">
        <v>45</v>
      </c>
      <c r="C41" s="1">
        <v>0</v>
      </c>
      <c r="D41" s="1">
        <v>0</v>
      </c>
      <c r="E41" s="2">
        <v>8860</v>
      </c>
      <c r="F41" s="2">
        <v>188456</v>
      </c>
      <c r="G41" s="2">
        <v>265988</v>
      </c>
      <c r="H41" s="2">
        <v>536213</v>
      </c>
    </row>
    <row r="42" spans="1:8" x14ac:dyDescent="0.25">
      <c r="A42" s="3">
        <v>42</v>
      </c>
      <c r="B42" s="3">
        <v>46</v>
      </c>
      <c r="C42" s="3">
        <v>0</v>
      </c>
      <c r="D42" s="3">
        <v>0</v>
      </c>
      <c r="E42" s="4">
        <v>9331</v>
      </c>
      <c r="F42" s="4">
        <v>201070</v>
      </c>
      <c r="G42" s="4">
        <v>279953</v>
      </c>
      <c r="H42" s="4">
        <v>554702</v>
      </c>
    </row>
    <row r="43" spans="1:8" x14ac:dyDescent="0.25">
      <c r="A43" s="1">
        <v>43</v>
      </c>
      <c r="B43" s="1">
        <v>47</v>
      </c>
      <c r="C43" s="1">
        <v>0</v>
      </c>
      <c r="D43" s="1">
        <v>0</v>
      </c>
      <c r="E43" s="2">
        <v>9821</v>
      </c>
      <c r="F43" s="2">
        <v>214397</v>
      </c>
      <c r="G43" s="2">
        <v>294655</v>
      </c>
      <c r="H43" s="2">
        <v>573828</v>
      </c>
    </row>
    <row r="44" spans="1:8" x14ac:dyDescent="0.25">
      <c r="A44" s="3">
        <v>44</v>
      </c>
      <c r="B44" s="3">
        <v>48</v>
      </c>
      <c r="C44" s="3">
        <v>0</v>
      </c>
      <c r="D44" s="3">
        <v>0</v>
      </c>
      <c r="E44" s="4">
        <v>10331</v>
      </c>
      <c r="F44" s="4">
        <v>228473</v>
      </c>
      <c r="G44" s="4">
        <v>310133</v>
      </c>
      <c r="H44" s="4">
        <v>593602</v>
      </c>
    </row>
    <row r="45" spans="1:8" x14ac:dyDescent="0.25">
      <c r="A45" s="1">
        <v>45</v>
      </c>
      <c r="B45" s="1">
        <v>49</v>
      </c>
      <c r="C45" s="1">
        <v>0</v>
      </c>
      <c r="D45" s="1">
        <v>0</v>
      </c>
      <c r="E45" s="2">
        <v>10871</v>
      </c>
      <c r="F45" s="2">
        <v>243341</v>
      </c>
      <c r="G45" s="2">
        <v>326430</v>
      </c>
      <c r="H45" s="2">
        <v>614051</v>
      </c>
    </row>
    <row r="46" spans="1:8" x14ac:dyDescent="0.25">
      <c r="A46" s="3">
        <v>46</v>
      </c>
      <c r="B46" s="3">
        <v>50</v>
      </c>
      <c r="C46" s="3">
        <v>0</v>
      </c>
      <c r="D46" s="3">
        <v>0</v>
      </c>
      <c r="E46" s="4">
        <v>11429</v>
      </c>
      <c r="F46" s="4">
        <v>259032</v>
      </c>
      <c r="G46" s="4">
        <v>343575</v>
      </c>
      <c r="H46" s="4">
        <v>635180</v>
      </c>
    </row>
    <row r="47" spans="1:8" x14ac:dyDescent="0.25">
      <c r="A47" s="1">
        <v>47</v>
      </c>
      <c r="B47" s="1">
        <v>51</v>
      </c>
      <c r="C47" s="1">
        <v>0</v>
      </c>
      <c r="D47" s="1">
        <v>0</v>
      </c>
      <c r="E47" s="2">
        <v>12037</v>
      </c>
      <c r="F47" s="2">
        <v>275604</v>
      </c>
      <c r="G47" s="2">
        <v>361628</v>
      </c>
      <c r="H47" s="2">
        <v>657051</v>
      </c>
    </row>
    <row r="48" spans="1:8" x14ac:dyDescent="0.25">
      <c r="A48" s="3">
        <v>48</v>
      </c>
      <c r="B48" s="3">
        <v>52</v>
      </c>
      <c r="C48" s="3">
        <v>0</v>
      </c>
      <c r="D48" s="3">
        <v>0</v>
      </c>
      <c r="E48" s="4">
        <v>12666</v>
      </c>
      <c r="F48" s="4">
        <v>293088</v>
      </c>
      <c r="G48" s="4">
        <v>380615</v>
      </c>
      <c r="H48" s="4">
        <v>679670</v>
      </c>
    </row>
    <row r="49" spans="1:8" x14ac:dyDescent="0.25">
      <c r="A49" s="1">
        <v>49</v>
      </c>
      <c r="B49" s="1">
        <v>53</v>
      </c>
      <c r="C49" s="1">
        <v>0</v>
      </c>
      <c r="D49" s="1">
        <v>0</v>
      </c>
      <c r="E49" s="2">
        <v>13333</v>
      </c>
      <c r="F49" s="2">
        <v>311523</v>
      </c>
      <c r="G49" s="2">
        <v>400574</v>
      </c>
      <c r="H49" s="2">
        <v>703070</v>
      </c>
    </row>
    <row r="50" spans="1:8" x14ac:dyDescent="0.25">
      <c r="A50" s="3">
        <v>50</v>
      </c>
      <c r="B50" s="3">
        <v>54</v>
      </c>
      <c r="C50" s="3">
        <v>0</v>
      </c>
      <c r="D50" s="3">
        <v>0</v>
      </c>
      <c r="E50" s="4">
        <v>14030</v>
      </c>
      <c r="F50" s="4">
        <v>330960</v>
      </c>
      <c r="G50" s="4">
        <v>421557</v>
      </c>
      <c r="H50" s="4">
        <v>727274</v>
      </c>
    </row>
    <row r="51" spans="1:8" x14ac:dyDescent="0.25">
      <c r="A51" s="1">
        <v>51</v>
      </c>
      <c r="B51" s="1">
        <v>55</v>
      </c>
      <c r="C51" s="1">
        <v>0</v>
      </c>
      <c r="D51" s="1">
        <v>0</v>
      </c>
      <c r="E51" s="2">
        <v>14773</v>
      </c>
      <c r="F51" s="2">
        <v>351455</v>
      </c>
      <c r="G51" s="2">
        <v>443618</v>
      </c>
      <c r="H51" s="2">
        <v>752328</v>
      </c>
    </row>
    <row r="52" spans="1:8" x14ac:dyDescent="0.25">
      <c r="A52" s="3">
        <v>52</v>
      </c>
      <c r="B52" s="3">
        <v>56</v>
      </c>
      <c r="C52" s="3">
        <v>0</v>
      </c>
      <c r="D52" s="3">
        <v>0</v>
      </c>
      <c r="E52" s="4">
        <v>15567</v>
      </c>
      <c r="F52" s="4">
        <v>373059</v>
      </c>
      <c r="G52" s="4">
        <v>466806</v>
      </c>
      <c r="H52" s="4">
        <v>778282</v>
      </c>
    </row>
    <row r="53" spans="1:8" x14ac:dyDescent="0.25">
      <c r="A53" s="1">
        <v>53</v>
      </c>
      <c r="B53" s="1">
        <v>57</v>
      </c>
      <c r="C53" s="1">
        <v>0</v>
      </c>
      <c r="D53" s="1">
        <v>0</v>
      </c>
      <c r="E53" s="2">
        <v>16414</v>
      </c>
      <c r="F53" s="2">
        <v>395842</v>
      </c>
      <c r="G53" s="2">
        <v>491189</v>
      </c>
      <c r="H53" s="2">
        <v>805189</v>
      </c>
    </row>
    <row r="54" spans="1:8" x14ac:dyDescent="0.25">
      <c r="A54" s="3">
        <v>54</v>
      </c>
      <c r="B54" s="3">
        <v>58</v>
      </c>
      <c r="C54" s="3">
        <v>0</v>
      </c>
      <c r="D54" s="3">
        <v>0</v>
      </c>
      <c r="E54" s="4">
        <v>17326</v>
      </c>
      <c r="F54" s="4">
        <v>419878</v>
      </c>
      <c r="G54" s="4">
        <v>516841</v>
      </c>
      <c r="H54" s="4">
        <v>833118</v>
      </c>
    </row>
    <row r="55" spans="1:8" x14ac:dyDescent="0.25">
      <c r="A55" s="1">
        <v>55</v>
      </c>
      <c r="B55" s="1">
        <v>59</v>
      </c>
      <c r="C55" s="1">
        <v>0</v>
      </c>
      <c r="D55" s="1">
        <v>0</v>
      </c>
      <c r="E55" s="2">
        <v>18279</v>
      </c>
      <c r="F55" s="2">
        <v>445216</v>
      </c>
      <c r="G55" s="2">
        <v>543809</v>
      </c>
      <c r="H55" s="2">
        <v>862094</v>
      </c>
    </row>
    <row r="56" spans="1:8" x14ac:dyDescent="0.25">
      <c r="A56" s="3">
        <v>56</v>
      </c>
      <c r="B56" s="3">
        <v>60</v>
      </c>
      <c r="C56" s="3">
        <v>0</v>
      </c>
      <c r="D56" s="3">
        <v>0</v>
      </c>
      <c r="E56" s="4">
        <v>19299</v>
      </c>
      <c r="F56" s="4">
        <v>471925</v>
      </c>
      <c r="G56" s="4">
        <v>572160</v>
      </c>
      <c r="H56" s="4">
        <v>892188</v>
      </c>
    </row>
    <row r="57" spans="1:8" x14ac:dyDescent="0.25">
      <c r="A57" s="1">
        <v>57</v>
      </c>
      <c r="B57" s="1">
        <v>61</v>
      </c>
      <c r="C57" s="1">
        <v>0</v>
      </c>
      <c r="D57" s="1">
        <v>0</v>
      </c>
      <c r="E57" s="2">
        <v>20383</v>
      </c>
      <c r="F57" s="2">
        <v>500079</v>
      </c>
      <c r="G57" s="2">
        <v>601964</v>
      </c>
      <c r="H57" s="2">
        <v>923456</v>
      </c>
    </row>
    <row r="58" spans="1:8" x14ac:dyDescent="0.25">
      <c r="A58" s="3">
        <v>58</v>
      </c>
      <c r="B58" s="3">
        <v>62</v>
      </c>
      <c r="C58" s="3">
        <v>0</v>
      </c>
      <c r="D58" s="3">
        <v>0</v>
      </c>
      <c r="E58" s="4">
        <v>21518</v>
      </c>
      <c r="F58" s="4">
        <v>529722</v>
      </c>
      <c r="G58" s="4">
        <v>633262</v>
      </c>
      <c r="H58" s="4">
        <v>955939</v>
      </c>
    </row>
    <row r="59" spans="1:8" x14ac:dyDescent="0.25">
      <c r="A59" s="1">
        <v>59</v>
      </c>
      <c r="B59" s="1">
        <v>63</v>
      </c>
      <c r="C59" s="1">
        <v>0</v>
      </c>
      <c r="D59" s="1">
        <v>0</v>
      </c>
      <c r="E59" s="2">
        <v>22711</v>
      </c>
      <c r="F59" s="2">
        <v>560933</v>
      </c>
      <c r="G59" s="2">
        <v>666135</v>
      </c>
      <c r="H59" s="2">
        <v>989681</v>
      </c>
    </row>
    <row r="60" spans="1:8" x14ac:dyDescent="0.25">
      <c r="A60" s="3">
        <v>60</v>
      </c>
      <c r="B60" s="3">
        <v>64</v>
      </c>
      <c r="C60" s="3">
        <v>0</v>
      </c>
      <c r="D60" s="3">
        <v>0</v>
      </c>
      <c r="E60" s="4">
        <v>23958</v>
      </c>
      <c r="F60" s="4">
        <v>593758</v>
      </c>
      <c r="G60" s="4">
        <v>700622</v>
      </c>
      <c r="H60" s="4">
        <v>1024721</v>
      </c>
    </row>
    <row r="61" spans="1:8" x14ac:dyDescent="0.25">
      <c r="A61" s="1">
        <v>61</v>
      </c>
      <c r="B61" s="1">
        <v>65</v>
      </c>
      <c r="C61" s="1">
        <v>0</v>
      </c>
      <c r="D61" s="1">
        <v>0</v>
      </c>
      <c r="E61" s="2">
        <v>25285</v>
      </c>
      <c r="F61" s="2">
        <v>628274</v>
      </c>
      <c r="G61" s="2">
        <v>736800</v>
      </c>
      <c r="H61" s="2">
        <v>1061136</v>
      </c>
    </row>
    <row r="62" spans="1:8" x14ac:dyDescent="0.25">
      <c r="A62" s="3">
        <v>62</v>
      </c>
      <c r="B62" s="3">
        <v>66</v>
      </c>
      <c r="C62" s="3">
        <v>0</v>
      </c>
      <c r="D62" s="3">
        <v>0</v>
      </c>
      <c r="E62" s="4">
        <v>26660</v>
      </c>
      <c r="F62" s="4">
        <v>664570</v>
      </c>
      <c r="G62" s="4">
        <v>774761</v>
      </c>
      <c r="H62" s="4">
        <v>1098952</v>
      </c>
    </row>
    <row r="63" spans="1:8" x14ac:dyDescent="0.25">
      <c r="A63" s="1">
        <v>63</v>
      </c>
      <c r="B63" s="1">
        <v>67</v>
      </c>
      <c r="C63" s="1">
        <v>0</v>
      </c>
      <c r="D63" s="1">
        <v>0</v>
      </c>
      <c r="E63" s="2">
        <v>28102</v>
      </c>
      <c r="F63" s="2">
        <v>702702</v>
      </c>
      <c r="G63" s="2">
        <v>814556</v>
      </c>
      <c r="H63" s="2">
        <v>1138220</v>
      </c>
    </row>
    <row r="64" spans="1:8" x14ac:dyDescent="0.25">
      <c r="A64" s="3">
        <v>64</v>
      </c>
      <c r="B64" s="3">
        <v>68</v>
      </c>
      <c r="C64" s="3">
        <v>0</v>
      </c>
      <c r="D64" s="3">
        <v>0</v>
      </c>
      <c r="E64" s="4">
        <v>29616</v>
      </c>
      <c r="F64" s="4">
        <v>742785</v>
      </c>
      <c r="G64" s="4">
        <v>856305</v>
      </c>
      <c r="H64" s="4">
        <v>1178996</v>
      </c>
    </row>
    <row r="65" spans="1:8" x14ac:dyDescent="0.25">
      <c r="A65" s="1">
        <v>65</v>
      </c>
      <c r="B65" s="1">
        <v>69</v>
      </c>
      <c r="C65" s="1">
        <v>0</v>
      </c>
      <c r="D65" s="1">
        <v>0</v>
      </c>
      <c r="E65" s="2">
        <v>31204</v>
      </c>
      <c r="F65" s="2">
        <v>784901</v>
      </c>
      <c r="G65" s="2">
        <v>900089</v>
      </c>
      <c r="H65" s="2">
        <v>1221337</v>
      </c>
    </row>
    <row r="66" spans="1:8" x14ac:dyDescent="0.25">
      <c r="A66" s="3">
        <v>66</v>
      </c>
      <c r="B66" s="3">
        <v>70</v>
      </c>
      <c r="C66" s="3">
        <v>0</v>
      </c>
      <c r="D66" s="3">
        <v>0</v>
      </c>
      <c r="E66" s="4">
        <v>32873</v>
      </c>
      <c r="F66" s="4">
        <v>829138</v>
      </c>
      <c r="G66" s="4">
        <v>945993</v>
      </c>
      <c r="H66" s="4">
        <v>1265306</v>
      </c>
    </row>
    <row r="67" spans="1:8" x14ac:dyDescent="0.25">
      <c r="A67" s="1">
        <v>67</v>
      </c>
      <c r="B67" s="1">
        <v>71</v>
      </c>
      <c r="C67" s="1">
        <v>0</v>
      </c>
      <c r="D67" s="1">
        <v>0</v>
      </c>
      <c r="E67" s="2">
        <v>34648</v>
      </c>
      <c r="F67" s="2">
        <v>875574</v>
      </c>
      <c r="G67" s="2">
        <v>994091</v>
      </c>
      <c r="H67" s="2">
        <v>1310999</v>
      </c>
    </row>
    <row r="68" spans="1:8" x14ac:dyDescent="0.25">
      <c r="A68" s="3">
        <v>68</v>
      </c>
      <c r="B68" s="3">
        <v>72</v>
      </c>
      <c r="C68" s="3">
        <v>0</v>
      </c>
      <c r="D68" s="3">
        <v>0</v>
      </c>
      <c r="E68" s="4">
        <v>36512</v>
      </c>
      <c r="F68" s="4">
        <v>924280</v>
      </c>
      <c r="G68" s="4">
        <v>1044447</v>
      </c>
      <c r="H68" s="4">
        <v>1358489</v>
      </c>
    </row>
    <row r="69" spans="1:8" x14ac:dyDescent="0.25">
      <c r="A69" s="1">
        <v>69</v>
      </c>
      <c r="B69" s="1">
        <v>73</v>
      </c>
      <c r="C69" s="1">
        <v>0</v>
      </c>
      <c r="D69" s="1">
        <v>0</v>
      </c>
      <c r="E69" s="2">
        <v>38484</v>
      </c>
      <c r="F69" s="2">
        <v>975339</v>
      </c>
      <c r="G69" s="2">
        <v>1097141</v>
      </c>
      <c r="H69" s="2">
        <v>1407873</v>
      </c>
    </row>
    <row r="70" spans="1:8" x14ac:dyDescent="0.25">
      <c r="A70" s="3">
        <v>70</v>
      </c>
      <c r="B70" s="3">
        <v>74</v>
      </c>
      <c r="C70" s="3">
        <v>0</v>
      </c>
      <c r="D70" s="3">
        <v>0</v>
      </c>
      <c r="E70" s="4">
        <v>40555</v>
      </c>
      <c r="F70" s="4">
        <v>1028798</v>
      </c>
      <c r="G70" s="4">
        <v>1152211</v>
      </c>
      <c r="H70" s="4">
        <v>1459234</v>
      </c>
    </row>
    <row r="71" spans="1:8" x14ac:dyDescent="0.25">
      <c r="A71" s="1">
        <v>71</v>
      </c>
      <c r="B71" s="1">
        <v>75</v>
      </c>
      <c r="C71" s="1">
        <v>0</v>
      </c>
      <c r="D71" s="1">
        <v>0</v>
      </c>
      <c r="E71" s="2">
        <v>42730</v>
      </c>
      <c r="F71" s="2">
        <v>1084739</v>
      </c>
      <c r="G71" s="2">
        <v>1209738</v>
      </c>
      <c r="H71" s="2">
        <v>1512664</v>
      </c>
    </row>
    <row r="72" spans="1:8" x14ac:dyDescent="0.25">
      <c r="A72" s="3">
        <v>72</v>
      </c>
      <c r="B72" s="3">
        <v>76</v>
      </c>
      <c r="C72" s="3">
        <v>0</v>
      </c>
      <c r="D72" s="3">
        <v>0</v>
      </c>
      <c r="E72" s="4">
        <v>44973</v>
      </c>
      <c r="F72" s="4">
        <v>1143249</v>
      </c>
      <c r="G72" s="4">
        <v>1269807</v>
      </c>
      <c r="H72" s="4">
        <v>1568205</v>
      </c>
    </row>
    <row r="73" spans="1:8" x14ac:dyDescent="0.25">
      <c r="A73" s="1">
        <v>73</v>
      </c>
      <c r="B73" s="1">
        <v>77</v>
      </c>
      <c r="C73" s="1">
        <v>0</v>
      </c>
      <c r="D73" s="1">
        <v>0</v>
      </c>
      <c r="E73" s="2">
        <v>47296</v>
      </c>
      <c r="F73" s="2">
        <v>1204395</v>
      </c>
      <c r="G73" s="2">
        <v>1332487</v>
      </c>
      <c r="H73" s="2">
        <v>1625916</v>
      </c>
    </row>
    <row r="74" spans="1:8" x14ac:dyDescent="0.25">
      <c r="A74" s="3">
        <v>74</v>
      </c>
      <c r="B74" s="3">
        <v>78</v>
      </c>
      <c r="C74" s="3">
        <v>0</v>
      </c>
      <c r="D74" s="3">
        <v>0</v>
      </c>
      <c r="E74" s="4">
        <v>49697</v>
      </c>
      <c r="F74" s="4">
        <v>1268289</v>
      </c>
      <c r="G74" s="4">
        <v>1397890</v>
      </c>
      <c r="H74" s="4">
        <v>1685850</v>
      </c>
    </row>
    <row r="75" spans="1:8" x14ac:dyDescent="0.25">
      <c r="A75" s="1">
        <v>75</v>
      </c>
      <c r="B75" s="1">
        <v>79</v>
      </c>
      <c r="C75" s="1">
        <v>0</v>
      </c>
      <c r="D75" s="1">
        <v>0</v>
      </c>
      <c r="E75" s="2">
        <v>52182</v>
      </c>
      <c r="F75" s="2">
        <v>1335032</v>
      </c>
      <c r="G75" s="2">
        <v>1466122</v>
      </c>
      <c r="H75" s="2">
        <v>1748067</v>
      </c>
    </row>
    <row r="76" spans="1:8" x14ac:dyDescent="0.25">
      <c r="A76" s="3">
        <v>76</v>
      </c>
      <c r="B76" s="3">
        <v>80</v>
      </c>
      <c r="C76" s="3">
        <v>0</v>
      </c>
      <c r="D76" s="3">
        <v>0</v>
      </c>
      <c r="E76" s="4">
        <v>54717</v>
      </c>
      <c r="F76" s="4">
        <v>1404664</v>
      </c>
      <c r="G76" s="4">
        <v>1537218</v>
      </c>
      <c r="H76" s="4">
        <v>1812586</v>
      </c>
    </row>
    <row r="77" spans="1:8" x14ac:dyDescent="0.25">
      <c r="A77" s="1">
        <v>77</v>
      </c>
      <c r="B77" s="1">
        <v>81</v>
      </c>
      <c r="C77" s="1">
        <v>0</v>
      </c>
      <c r="D77" s="1">
        <v>0</v>
      </c>
      <c r="E77" s="2">
        <v>57366</v>
      </c>
      <c r="F77" s="2">
        <v>1477234</v>
      </c>
      <c r="G77" s="2">
        <v>1611223</v>
      </c>
      <c r="H77" s="2">
        <v>1879504</v>
      </c>
    </row>
    <row r="78" spans="1:8" x14ac:dyDescent="0.25">
      <c r="A78" s="3">
        <v>78</v>
      </c>
      <c r="B78" s="3">
        <v>82</v>
      </c>
      <c r="C78" s="3">
        <v>0</v>
      </c>
      <c r="D78" s="3">
        <v>0</v>
      </c>
      <c r="E78" s="4">
        <v>60098</v>
      </c>
      <c r="F78" s="4">
        <v>1552806</v>
      </c>
      <c r="G78" s="4">
        <v>1688199</v>
      </c>
      <c r="H78" s="4">
        <v>1948881</v>
      </c>
    </row>
    <row r="79" spans="1:8" x14ac:dyDescent="0.25">
      <c r="A79" s="1">
        <v>79</v>
      </c>
      <c r="B79" s="1">
        <v>83</v>
      </c>
      <c r="C79" s="1">
        <v>0</v>
      </c>
      <c r="D79" s="1">
        <v>0</v>
      </c>
      <c r="E79" s="2">
        <v>62896</v>
      </c>
      <c r="F79" s="2">
        <v>1631441</v>
      </c>
      <c r="G79" s="2">
        <v>1768206</v>
      </c>
      <c r="H79" s="2">
        <v>2020760</v>
      </c>
    </row>
    <row r="80" spans="1:8" x14ac:dyDescent="0.25">
      <c r="A80" s="3">
        <v>80</v>
      </c>
      <c r="B80" s="3">
        <v>84</v>
      </c>
      <c r="C80" s="3">
        <v>0</v>
      </c>
      <c r="D80" s="3">
        <v>0</v>
      </c>
      <c r="E80" s="4">
        <v>65938</v>
      </c>
      <c r="F80" s="4">
        <v>1713171</v>
      </c>
      <c r="G80" s="4">
        <v>1851260</v>
      </c>
      <c r="H80" s="4">
        <v>2095394</v>
      </c>
    </row>
    <row r="81" spans="1:8" x14ac:dyDescent="0.25">
      <c r="A81" s="1">
        <v>81</v>
      </c>
      <c r="B81" s="1">
        <v>85</v>
      </c>
      <c r="C81" s="1">
        <v>0</v>
      </c>
      <c r="D81" s="1">
        <v>0</v>
      </c>
      <c r="E81" s="2">
        <v>69082</v>
      </c>
      <c r="F81" s="2">
        <v>1798018</v>
      </c>
      <c r="G81" s="2">
        <v>1937377</v>
      </c>
      <c r="H81" s="2">
        <v>2172873</v>
      </c>
    </row>
    <row r="82" spans="1:8" x14ac:dyDescent="0.25">
      <c r="A82" s="3">
        <v>82</v>
      </c>
      <c r="B82" s="3">
        <v>86</v>
      </c>
      <c r="C82" s="3">
        <v>0</v>
      </c>
      <c r="D82" s="3">
        <v>0</v>
      </c>
      <c r="E82" s="4">
        <v>72305</v>
      </c>
      <c r="F82" s="4">
        <v>1885931</v>
      </c>
      <c r="G82" s="4">
        <v>2026500</v>
      </c>
      <c r="H82" s="4">
        <v>2253269</v>
      </c>
    </row>
    <row r="83" spans="1:8" x14ac:dyDescent="0.25">
      <c r="A83" s="1">
        <v>83</v>
      </c>
      <c r="B83" s="1">
        <v>87</v>
      </c>
      <c r="C83" s="1">
        <v>0</v>
      </c>
      <c r="D83" s="1">
        <v>0</v>
      </c>
      <c r="E83" s="2">
        <v>75649</v>
      </c>
      <c r="F83" s="2">
        <v>1976867</v>
      </c>
      <c r="G83" s="2">
        <v>2118576</v>
      </c>
      <c r="H83" s="2">
        <v>2336707</v>
      </c>
    </row>
    <row r="84" spans="1:8" x14ac:dyDescent="0.25">
      <c r="A84" s="3">
        <v>84</v>
      </c>
      <c r="B84" s="3">
        <v>88</v>
      </c>
      <c r="C84" s="3">
        <v>0</v>
      </c>
      <c r="D84" s="3">
        <v>0</v>
      </c>
      <c r="E84" s="4">
        <v>78961</v>
      </c>
      <c r="F84" s="4">
        <v>2070698</v>
      </c>
      <c r="G84" s="4">
        <v>2213473</v>
      </c>
      <c r="H84" s="4">
        <v>2423148</v>
      </c>
    </row>
    <row r="85" spans="1:8" x14ac:dyDescent="0.25">
      <c r="A85" s="1">
        <v>85</v>
      </c>
      <c r="B85" s="1">
        <v>89</v>
      </c>
      <c r="C85" s="1">
        <v>0</v>
      </c>
      <c r="D85" s="1">
        <v>0</v>
      </c>
      <c r="E85" s="2">
        <v>82289</v>
      </c>
      <c r="F85" s="2">
        <v>2167314</v>
      </c>
      <c r="G85" s="2">
        <v>2311076</v>
      </c>
      <c r="H85" s="2">
        <v>2512613</v>
      </c>
    </row>
    <row r="86" spans="1:8" x14ac:dyDescent="0.25">
      <c r="A86" s="3">
        <v>86</v>
      </c>
      <c r="B86" s="3">
        <v>90</v>
      </c>
      <c r="C86" s="3">
        <v>0</v>
      </c>
      <c r="D86" s="3">
        <v>0</v>
      </c>
      <c r="E86" s="4">
        <v>85573</v>
      </c>
      <c r="F86" s="4">
        <v>2266625</v>
      </c>
      <c r="G86" s="4">
        <v>2411298</v>
      </c>
      <c r="H86" s="4">
        <v>2605063</v>
      </c>
    </row>
    <row r="87" spans="1:8" x14ac:dyDescent="0.25">
      <c r="A87" s="1">
        <v>87</v>
      </c>
      <c r="B87" s="1">
        <v>91</v>
      </c>
      <c r="C87" s="1">
        <v>0</v>
      </c>
      <c r="D87" s="1">
        <v>0</v>
      </c>
      <c r="E87" s="2">
        <v>88897</v>
      </c>
      <c r="F87" s="2">
        <v>2368745</v>
      </c>
      <c r="G87" s="2">
        <v>2514262</v>
      </c>
      <c r="H87" s="2">
        <v>2700546</v>
      </c>
    </row>
    <row r="88" spans="1:8" x14ac:dyDescent="0.25">
      <c r="A88" s="3">
        <v>88</v>
      </c>
      <c r="B88" s="3">
        <v>92</v>
      </c>
      <c r="C88" s="3">
        <v>0</v>
      </c>
      <c r="D88" s="3">
        <v>0</v>
      </c>
      <c r="E88" s="4">
        <v>92149</v>
      </c>
      <c r="F88" s="4">
        <v>2473742</v>
      </c>
      <c r="G88" s="4">
        <v>2620049</v>
      </c>
      <c r="H88" s="4">
        <v>2798988</v>
      </c>
    </row>
    <row r="89" spans="1:8" x14ac:dyDescent="0.25">
      <c r="A89" s="1">
        <v>89</v>
      </c>
      <c r="B89" s="1">
        <v>93</v>
      </c>
      <c r="C89" s="1">
        <v>0</v>
      </c>
      <c r="D89" s="1">
        <v>0</v>
      </c>
      <c r="E89" s="2">
        <v>95502</v>
      </c>
      <c r="F89" s="2">
        <v>2582114</v>
      </c>
      <c r="G89" s="2">
        <v>2729182</v>
      </c>
      <c r="H89" s="2">
        <v>2900485</v>
      </c>
    </row>
    <row r="90" spans="1:8" x14ac:dyDescent="0.25">
      <c r="A90" s="3">
        <v>90</v>
      </c>
      <c r="B90" s="3">
        <v>94</v>
      </c>
      <c r="C90" s="3">
        <v>0</v>
      </c>
      <c r="D90" s="3">
        <v>0</v>
      </c>
      <c r="E90" s="4">
        <v>98901</v>
      </c>
      <c r="F90" s="4">
        <v>2694325</v>
      </c>
      <c r="G90" s="4">
        <v>2842151</v>
      </c>
      <c r="H90" s="4">
        <v>3005055</v>
      </c>
    </row>
    <row r="91" spans="1:8" x14ac:dyDescent="0.25">
      <c r="A91" s="1">
        <v>91</v>
      </c>
      <c r="B91" s="1">
        <v>95</v>
      </c>
      <c r="C91" s="1">
        <v>0</v>
      </c>
      <c r="D91" s="1">
        <v>0</v>
      </c>
      <c r="E91" s="2">
        <v>102367</v>
      </c>
      <c r="F91" s="2">
        <v>2811335</v>
      </c>
      <c r="G91" s="2">
        <v>2959964</v>
      </c>
      <c r="H91" s="2">
        <v>3112705</v>
      </c>
    </row>
    <row r="92" spans="1:8" x14ac:dyDescent="0.25">
      <c r="A92" s="3">
        <v>92</v>
      </c>
      <c r="B92" s="3">
        <v>96</v>
      </c>
      <c r="C92" s="3">
        <v>0</v>
      </c>
      <c r="D92" s="3">
        <v>0</v>
      </c>
      <c r="E92" s="4">
        <v>105902</v>
      </c>
      <c r="F92" s="4">
        <v>2934621</v>
      </c>
      <c r="G92" s="4">
        <v>3084169</v>
      </c>
      <c r="H92" s="4">
        <v>3223387</v>
      </c>
    </row>
    <row r="93" spans="1:8" x14ac:dyDescent="0.25">
      <c r="A93" s="1">
        <v>93</v>
      </c>
      <c r="B93" s="1">
        <v>97</v>
      </c>
      <c r="C93" s="1">
        <v>0</v>
      </c>
      <c r="D93" s="1">
        <v>0</v>
      </c>
      <c r="E93" s="2">
        <v>109533</v>
      </c>
      <c r="F93" s="2">
        <v>3065225</v>
      </c>
      <c r="G93" s="2">
        <v>3215847</v>
      </c>
      <c r="H93" s="2">
        <v>3337049</v>
      </c>
    </row>
    <row r="94" spans="1:8" x14ac:dyDescent="0.25">
      <c r="A94" s="3">
        <v>94</v>
      </c>
      <c r="B94" s="3">
        <v>98</v>
      </c>
      <c r="C94" s="3">
        <v>0</v>
      </c>
      <c r="D94" s="3">
        <v>0</v>
      </c>
      <c r="E94" s="4">
        <v>113088</v>
      </c>
      <c r="F94" s="4">
        <v>3205444</v>
      </c>
      <c r="G94" s="4">
        <v>3357400</v>
      </c>
      <c r="H94" s="4">
        <v>3453369</v>
      </c>
    </row>
    <row r="95" spans="1:8" x14ac:dyDescent="0.25">
      <c r="A95" s="1">
        <v>95</v>
      </c>
      <c r="B95" s="1">
        <v>99</v>
      </c>
      <c r="C95" s="1">
        <v>0</v>
      </c>
      <c r="D95" s="1">
        <v>0</v>
      </c>
      <c r="E95" s="2">
        <v>116295</v>
      </c>
      <c r="F95" s="2">
        <v>3359293</v>
      </c>
      <c r="G95" s="2">
        <v>3513029</v>
      </c>
      <c r="H95" s="2">
        <v>3571603</v>
      </c>
    </row>
    <row r="96" spans="1:8" x14ac:dyDescent="0.25">
      <c r="A96" s="3">
        <v>96</v>
      </c>
      <c r="B96" s="3">
        <v>100</v>
      </c>
      <c r="C96" s="3">
        <v>0</v>
      </c>
      <c r="D96" s="3">
        <v>0</v>
      </c>
      <c r="E96" s="4">
        <v>118662</v>
      </c>
      <c r="F96" s="4">
        <v>3533966</v>
      </c>
      <c r="G96" s="4">
        <v>3690265</v>
      </c>
      <c r="H96" s="4">
        <v>3690265</v>
      </c>
    </row>
    <row r="97" spans="1:8" x14ac:dyDescent="0.25">
      <c r="A97" s="1">
        <v>97</v>
      </c>
      <c r="B97" s="1">
        <v>101</v>
      </c>
      <c r="C97" s="1">
        <v>0</v>
      </c>
      <c r="D97" s="1">
        <v>0</v>
      </c>
      <c r="E97" s="2">
        <v>198435</v>
      </c>
      <c r="F97" s="2">
        <v>3732402</v>
      </c>
      <c r="G97" s="2">
        <v>3888701</v>
      </c>
      <c r="H97" s="2">
        <v>3888701</v>
      </c>
    </row>
    <row r="98" spans="1:8" x14ac:dyDescent="0.25">
      <c r="A98" s="3">
        <v>98</v>
      </c>
      <c r="B98" s="3">
        <v>102</v>
      </c>
      <c r="C98" s="3">
        <v>0</v>
      </c>
      <c r="D98" s="3">
        <v>0</v>
      </c>
      <c r="E98" s="4">
        <v>209091</v>
      </c>
      <c r="F98" s="4">
        <v>3941493</v>
      </c>
      <c r="G98" s="4">
        <v>4097792</v>
      </c>
      <c r="H98" s="4">
        <v>4097792</v>
      </c>
    </row>
    <row r="99" spans="1:8" x14ac:dyDescent="0.25">
      <c r="A99" s="1">
        <v>99</v>
      </c>
      <c r="B99" s="1">
        <v>103</v>
      </c>
      <c r="C99" s="1">
        <v>0</v>
      </c>
      <c r="D99" s="1">
        <v>0</v>
      </c>
      <c r="E99" s="2">
        <v>220320</v>
      </c>
      <c r="F99" s="2">
        <v>4161813</v>
      </c>
      <c r="G99" s="2">
        <v>4318112</v>
      </c>
      <c r="H99" s="2">
        <v>4318112</v>
      </c>
    </row>
    <row r="100" spans="1:8" x14ac:dyDescent="0.25">
      <c r="A100" s="3">
        <v>100</v>
      </c>
      <c r="B100" s="3">
        <v>104</v>
      </c>
      <c r="C100" s="3">
        <v>0</v>
      </c>
      <c r="D100" s="3">
        <v>0</v>
      </c>
      <c r="E100" s="4">
        <v>232151</v>
      </c>
      <c r="F100" s="4">
        <v>4393964</v>
      </c>
      <c r="G100" s="4">
        <v>4550263</v>
      </c>
      <c r="H100" s="4">
        <v>4550263</v>
      </c>
    </row>
    <row r="101" spans="1:8" x14ac:dyDescent="0.25">
      <c r="A101" s="1">
        <v>101</v>
      </c>
      <c r="B101" s="1">
        <v>105</v>
      </c>
      <c r="C101" s="1">
        <v>0</v>
      </c>
      <c r="D101" s="1">
        <v>0</v>
      </c>
      <c r="E101" s="2">
        <v>244617</v>
      </c>
      <c r="F101" s="2">
        <v>4638581</v>
      </c>
      <c r="G101" s="2">
        <v>4794880</v>
      </c>
      <c r="H101" s="2">
        <v>4794880</v>
      </c>
    </row>
    <row r="102" spans="1:8" x14ac:dyDescent="0.25">
      <c r="A102" s="3">
        <v>102</v>
      </c>
      <c r="B102" s="3">
        <v>106</v>
      </c>
      <c r="C102" s="3">
        <v>0</v>
      </c>
      <c r="D102" s="3">
        <v>0</v>
      </c>
      <c r="E102" s="4">
        <v>257753</v>
      </c>
      <c r="F102" s="4">
        <v>4896334</v>
      </c>
      <c r="G102" s="4">
        <v>5052633</v>
      </c>
      <c r="H102" s="4">
        <v>5052633</v>
      </c>
    </row>
    <row r="103" spans="1:8" x14ac:dyDescent="0.25">
      <c r="A103" s="1">
        <v>103</v>
      </c>
      <c r="B103" s="1">
        <v>107</v>
      </c>
      <c r="C103" s="1">
        <v>0</v>
      </c>
      <c r="D103" s="1">
        <v>0</v>
      </c>
      <c r="E103" s="2">
        <v>271595</v>
      </c>
      <c r="F103" s="2">
        <v>5167929</v>
      </c>
      <c r="G103" s="2">
        <v>5324228</v>
      </c>
      <c r="H103" s="2">
        <v>5324228</v>
      </c>
    </row>
    <row r="104" spans="1:8" x14ac:dyDescent="0.25">
      <c r="A104" s="3">
        <v>104</v>
      </c>
      <c r="B104" s="3">
        <v>108</v>
      </c>
      <c r="C104" s="3">
        <v>0</v>
      </c>
      <c r="D104" s="3">
        <v>0</v>
      </c>
      <c r="E104" s="4">
        <v>286179</v>
      </c>
      <c r="F104" s="4">
        <v>5454108</v>
      </c>
      <c r="G104" s="4">
        <v>5610407</v>
      </c>
      <c r="H104" s="4">
        <v>5610407</v>
      </c>
    </row>
    <row r="105" spans="1:8" x14ac:dyDescent="0.25">
      <c r="A105" s="1">
        <v>105</v>
      </c>
      <c r="B105" s="1">
        <v>109</v>
      </c>
      <c r="C105" s="1">
        <v>0</v>
      </c>
      <c r="D105" s="1">
        <v>0</v>
      </c>
      <c r="E105" s="2">
        <v>301547</v>
      </c>
      <c r="F105" s="2">
        <v>5755655</v>
      </c>
      <c r="G105" s="2">
        <v>5911954</v>
      </c>
      <c r="H105" s="2">
        <v>5911954</v>
      </c>
    </row>
    <row r="106" spans="1:8" x14ac:dyDescent="0.25">
      <c r="A106" s="3">
        <v>106</v>
      </c>
      <c r="B106" s="3">
        <v>110</v>
      </c>
      <c r="C106" s="3">
        <v>0</v>
      </c>
      <c r="D106" s="3">
        <v>0</v>
      </c>
      <c r="E106" s="4">
        <v>317740</v>
      </c>
      <c r="F106" s="4">
        <v>6073395</v>
      </c>
      <c r="G106" s="4">
        <v>6229694</v>
      </c>
      <c r="H106" s="4">
        <v>6229694</v>
      </c>
    </row>
    <row r="107" spans="1:8" x14ac:dyDescent="0.25">
      <c r="A107" s="1">
        <v>107</v>
      </c>
      <c r="B107" s="1">
        <v>111</v>
      </c>
      <c r="C107" s="1">
        <v>0</v>
      </c>
      <c r="D107" s="1">
        <v>0</v>
      </c>
      <c r="E107" s="2">
        <v>334803</v>
      </c>
      <c r="F107" s="2">
        <v>6408198</v>
      </c>
      <c r="G107" s="2">
        <v>6564497</v>
      </c>
      <c r="H107" s="2">
        <v>6564497</v>
      </c>
    </row>
    <row r="108" spans="1:8" x14ac:dyDescent="0.25">
      <c r="A108" s="3">
        <v>108</v>
      </c>
      <c r="B108" s="3">
        <v>112</v>
      </c>
      <c r="C108" s="3">
        <v>0</v>
      </c>
      <c r="D108" s="3">
        <v>0</v>
      </c>
      <c r="E108" s="4">
        <v>352782</v>
      </c>
      <c r="F108" s="4">
        <v>6760980</v>
      </c>
      <c r="G108" s="4">
        <v>6917279</v>
      </c>
      <c r="H108" s="4">
        <v>6917279</v>
      </c>
    </row>
    <row r="109" spans="1:8" x14ac:dyDescent="0.25">
      <c r="A109" s="1">
        <v>109</v>
      </c>
      <c r="B109" s="1">
        <v>113</v>
      </c>
      <c r="C109" s="1">
        <v>0</v>
      </c>
      <c r="D109" s="1">
        <v>0</v>
      </c>
      <c r="E109" s="2">
        <v>371726</v>
      </c>
      <c r="F109" s="2">
        <v>7132706</v>
      </c>
      <c r="G109" s="2">
        <v>7289005</v>
      </c>
      <c r="H109" s="2">
        <v>7289005</v>
      </c>
    </row>
    <row r="110" spans="1:8" x14ac:dyDescent="0.25">
      <c r="A110" s="3">
        <v>110</v>
      </c>
      <c r="B110" s="3">
        <v>114</v>
      </c>
      <c r="C110" s="3">
        <v>0</v>
      </c>
      <c r="D110" s="3">
        <v>0</v>
      </c>
      <c r="E110" s="4">
        <v>391688</v>
      </c>
      <c r="F110" s="4">
        <v>7524394</v>
      </c>
      <c r="G110" s="4">
        <v>7680693</v>
      </c>
      <c r="H110" s="4">
        <v>7680693</v>
      </c>
    </row>
    <row r="111" spans="1:8" x14ac:dyDescent="0.25">
      <c r="A111" s="1">
        <v>111</v>
      </c>
      <c r="B111" s="1">
        <v>115</v>
      </c>
      <c r="C111" s="1">
        <v>0</v>
      </c>
      <c r="D111" s="1">
        <v>0</v>
      </c>
      <c r="E111" s="2">
        <v>412721</v>
      </c>
      <c r="F111" s="2">
        <v>7937115</v>
      </c>
      <c r="G111" s="2">
        <v>8093414</v>
      </c>
      <c r="H111" s="2">
        <v>8093414</v>
      </c>
    </row>
    <row r="112" spans="1:8" x14ac:dyDescent="0.25">
      <c r="A112" s="3">
        <v>112</v>
      </c>
      <c r="B112" s="3">
        <v>116</v>
      </c>
      <c r="C112" s="3">
        <v>0</v>
      </c>
      <c r="D112" s="3">
        <v>0</v>
      </c>
      <c r="E112" s="4">
        <v>434885</v>
      </c>
      <c r="F112" s="4">
        <v>8372000</v>
      </c>
      <c r="G112" s="4">
        <v>8528299</v>
      </c>
      <c r="H112" s="4">
        <v>8528299</v>
      </c>
    </row>
    <row r="113" spans="1:8" x14ac:dyDescent="0.25">
      <c r="A113" s="1">
        <v>113</v>
      </c>
      <c r="B113" s="1">
        <v>117</v>
      </c>
      <c r="C113" s="1">
        <v>0</v>
      </c>
      <c r="D113" s="1">
        <v>0</v>
      </c>
      <c r="E113" s="2">
        <v>458238</v>
      </c>
      <c r="F113" s="2">
        <v>8830238</v>
      </c>
      <c r="G113" s="2">
        <v>8986537</v>
      </c>
      <c r="H113" s="2">
        <v>8986537</v>
      </c>
    </row>
    <row r="114" spans="1:8" x14ac:dyDescent="0.25">
      <c r="A114" s="3">
        <v>114</v>
      </c>
      <c r="B114" s="3">
        <v>118</v>
      </c>
      <c r="C114" s="3">
        <v>0</v>
      </c>
      <c r="D114" s="3">
        <v>0</v>
      </c>
      <c r="E114" s="4">
        <v>482845</v>
      </c>
      <c r="F114" s="4">
        <v>9313083</v>
      </c>
      <c r="G114" s="4">
        <v>9469382</v>
      </c>
      <c r="H114" s="4">
        <v>9469382</v>
      </c>
    </row>
    <row r="115" spans="1:8" x14ac:dyDescent="0.25">
      <c r="A115" s="1">
        <v>115</v>
      </c>
      <c r="B115" s="1">
        <v>119</v>
      </c>
      <c r="C115" s="1">
        <v>0</v>
      </c>
      <c r="D115" s="1">
        <v>0</v>
      </c>
      <c r="E115" s="2">
        <v>508774</v>
      </c>
      <c r="F115" s="2">
        <v>9821857</v>
      </c>
      <c r="G115" s="2">
        <v>9978156</v>
      </c>
      <c r="H115" s="2">
        <v>9978156</v>
      </c>
    </row>
    <row r="116" spans="1:8" x14ac:dyDescent="0.25">
      <c r="A116" s="3">
        <v>116</v>
      </c>
      <c r="B116" s="3">
        <v>120</v>
      </c>
      <c r="C116" s="3">
        <v>0</v>
      </c>
      <c r="D116" s="3">
        <v>0</v>
      </c>
      <c r="E116" s="4">
        <v>536095</v>
      </c>
      <c r="F116" s="4">
        <v>10357952</v>
      </c>
      <c r="G116" s="4">
        <v>10514251</v>
      </c>
      <c r="H116" s="4">
        <v>10514251</v>
      </c>
    </row>
    <row r="117" spans="1:8" x14ac:dyDescent="0.25">
      <c r="A117" s="1">
        <v>117</v>
      </c>
      <c r="B117" s="1">
        <v>121</v>
      </c>
      <c r="C117" s="1">
        <v>0</v>
      </c>
      <c r="D117" s="1">
        <v>0</v>
      </c>
      <c r="E117" s="2">
        <v>564883</v>
      </c>
      <c r="F117" s="2">
        <v>10922835</v>
      </c>
      <c r="G117" s="2">
        <v>11079134</v>
      </c>
      <c r="H117" s="2">
        <v>11079134</v>
      </c>
    </row>
    <row r="118" spans="1:8" ht="15.75" thickBot="1" x14ac:dyDescent="0.3">
      <c r="A118" s="5" t="s">
        <v>0</v>
      </c>
    </row>
    <row r="119" spans="1:8" x14ac:dyDescent="0.25">
      <c r="A11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F8BA-45B4-40DE-A629-06792C6595B1}">
  <dimension ref="A1:H69"/>
  <sheetViews>
    <sheetView topLeftCell="A19" workbookViewId="0">
      <selection activeCell="K4" sqref="K4"/>
    </sheetView>
  </sheetViews>
  <sheetFormatPr defaultRowHeight="15" x14ac:dyDescent="0.25"/>
  <cols>
    <col min="8" max="8" width="10.140625" bestFit="1" customWidth="1"/>
  </cols>
  <sheetData>
    <row r="1" spans="1:8" x14ac:dyDescent="0.25">
      <c r="A1" s="38">
        <v>5</v>
      </c>
      <c r="C1" s="39">
        <v>5000</v>
      </c>
      <c r="D1" s="39">
        <v>5000</v>
      </c>
      <c r="E1" s="38">
        <v>313</v>
      </c>
      <c r="F1" s="39">
        <v>2628</v>
      </c>
      <c r="G1" s="39">
        <v>2628</v>
      </c>
      <c r="H1" s="39">
        <v>406976</v>
      </c>
    </row>
    <row r="2" spans="1:8" x14ac:dyDescent="0.25">
      <c r="A2" s="40">
        <v>2</v>
      </c>
      <c r="B2" s="40">
        <v>6</v>
      </c>
      <c r="C2" s="41">
        <v>5000</v>
      </c>
      <c r="D2" s="41">
        <v>5000</v>
      </c>
      <c r="E2" s="40">
        <v>378</v>
      </c>
      <c r="F2" s="41">
        <v>5399</v>
      </c>
      <c r="G2" s="41">
        <v>5762</v>
      </c>
      <c r="H2" s="41">
        <v>428178</v>
      </c>
    </row>
    <row r="3" spans="1:8" x14ac:dyDescent="0.25">
      <c r="A3" s="38">
        <v>3</v>
      </c>
      <c r="B3" s="38">
        <v>7</v>
      </c>
      <c r="C3" s="39">
        <v>5000</v>
      </c>
      <c r="D3" s="39">
        <v>5000</v>
      </c>
      <c r="E3" s="38">
        <v>459</v>
      </c>
      <c r="F3" s="39">
        <v>8333</v>
      </c>
      <c r="G3" s="39">
        <v>10520</v>
      </c>
      <c r="H3" s="39">
        <v>449399</v>
      </c>
    </row>
    <row r="4" spans="1:8" x14ac:dyDescent="0.25">
      <c r="A4" s="40">
        <v>4</v>
      </c>
      <c r="B4" s="40">
        <v>8</v>
      </c>
      <c r="C4" s="41">
        <v>5000</v>
      </c>
      <c r="D4" s="41">
        <v>5000</v>
      </c>
      <c r="E4" s="40">
        <v>540</v>
      </c>
      <c r="F4" s="41">
        <v>11432</v>
      </c>
      <c r="G4" s="41">
        <v>15494</v>
      </c>
      <c r="H4" s="41">
        <v>470610</v>
      </c>
    </row>
    <row r="5" spans="1:8" x14ac:dyDescent="0.25">
      <c r="A5" s="38">
        <v>5</v>
      </c>
      <c r="B5" s="38">
        <v>9</v>
      </c>
      <c r="C5" s="39">
        <v>5000</v>
      </c>
      <c r="D5" s="39">
        <v>5000</v>
      </c>
      <c r="E5" s="38">
        <v>619</v>
      </c>
      <c r="F5" s="39">
        <v>14704</v>
      </c>
      <c r="G5" s="39">
        <v>20705</v>
      </c>
      <c r="H5" s="39">
        <v>491792</v>
      </c>
    </row>
    <row r="6" spans="1:8" x14ac:dyDescent="0.25">
      <c r="A6" s="40">
        <v>6</v>
      </c>
      <c r="B6" s="40">
        <v>10</v>
      </c>
      <c r="C6" s="41">
        <v>5000</v>
      </c>
      <c r="D6" s="41">
        <v>5000</v>
      </c>
      <c r="E6" s="40">
        <v>717</v>
      </c>
      <c r="F6" s="41">
        <v>18171</v>
      </c>
      <c r="G6" s="41">
        <v>26166</v>
      </c>
      <c r="H6" s="41">
        <v>513056</v>
      </c>
    </row>
    <row r="7" spans="1:8" x14ac:dyDescent="0.25">
      <c r="A7" s="38">
        <v>7</v>
      </c>
      <c r="B7" s="38">
        <v>11</v>
      </c>
      <c r="C7" s="39">
        <v>5000</v>
      </c>
      <c r="D7" s="39">
        <v>5000</v>
      </c>
      <c r="E7" s="38">
        <v>821</v>
      </c>
      <c r="F7" s="39">
        <v>21842</v>
      </c>
      <c r="G7" s="39">
        <v>31893</v>
      </c>
      <c r="H7" s="39">
        <v>534415</v>
      </c>
    </row>
    <row r="8" spans="1:8" x14ac:dyDescent="0.25">
      <c r="A8" s="40">
        <v>8</v>
      </c>
      <c r="B8" s="40">
        <v>12</v>
      </c>
      <c r="C8" s="41">
        <v>5000</v>
      </c>
      <c r="D8" s="41">
        <v>5000</v>
      </c>
      <c r="E8" s="40">
        <v>937</v>
      </c>
      <c r="F8" s="41">
        <v>25738</v>
      </c>
      <c r="G8" s="41">
        <v>37907</v>
      </c>
      <c r="H8" s="41">
        <v>555934</v>
      </c>
    </row>
    <row r="9" spans="1:8" x14ac:dyDescent="0.25">
      <c r="A9" s="38">
        <v>9</v>
      </c>
      <c r="B9" s="38">
        <v>13</v>
      </c>
      <c r="C9" s="39">
        <v>5000</v>
      </c>
      <c r="D9" s="39">
        <v>5000</v>
      </c>
      <c r="E9" s="39">
        <v>1049</v>
      </c>
      <c r="F9" s="39">
        <v>29860</v>
      </c>
      <c r="G9" s="39">
        <v>44195</v>
      </c>
      <c r="H9" s="39">
        <v>577561</v>
      </c>
    </row>
    <row r="10" spans="1:8" x14ac:dyDescent="0.25">
      <c r="A10" s="40">
        <v>10</v>
      </c>
      <c r="B10" s="40">
        <v>14</v>
      </c>
      <c r="C10" s="41">
        <v>5000</v>
      </c>
      <c r="D10" s="41">
        <v>5000</v>
      </c>
      <c r="E10" s="41">
        <v>1179</v>
      </c>
      <c r="F10" s="41">
        <v>34223</v>
      </c>
      <c r="G10" s="41">
        <v>50785</v>
      </c>
      <c r="H10" s="41">
        <v>599380</v>
      </c>
    </row>
    <row r="11" spans="1:8" x14ac:dyDescent="0.25">
      <c r="A11" s="38">
        <v>11</v>
      </c>
      <c r="B11" s="38">
        <v>15</v>
      </c>
      <c r="C11" s="38">
        <v>0</v>
      </c>
      <c r="D11" s="38">
        <v>0</v>
      </c>
      <c r="E11" s="38">
        <v>916</v>
      </c>
      <c r="F11" s="38">
        <v>916</v>
      </c>
      <c r="G11" s="39">
        <v>53162</v>
      </c>
      <c r="H11" s="39">
        <v>322665</v>
      </c>
    </row>
    <row r="12" spans="1:8" x14ac:dyDescent="0.25">
      <c r="A12" s="40">
        <v>12</v>
      </c>
      <c r="B12" s="40">
        <v>16</v>
      </c>
      <c r="C12" s="40">
        <v>0</v>
      </c>
      <c r="D12" s="40">
        <v>0</v>
      </c>
      <c r="E12" s="40">
        <v>981</v>
      </c>
      <c r="F12" s="41">
        <v>1923</v>
      </c>
      <c r="G12" s="41">
        <v>55641</v>
      </c>
      <c r="H12" s="41">
        <v>328458</v>
      </c>
    </row>
    <row r="13" spans="1:8" x14ac:dyDescent="0.25">
      <c r="A13" s="38">
        <v>13</v>
      </c>
      <c r="B13" s="38">
        <v>17</v>
      </c>
      <c r="C13" s="38">
        <v>0</v>
      </c>
      <c r="D13" s="38">
        <v>0</v>
      </c>
      <c r="E13" s="39">
        <v>1052</v>
      </c>
      <c r="F13" s="39">
        <v>3028</v>
      </c>
      <c r="G13" s="39">
        <v>58227</v>
      </c>
      <c r="H13" s="39">
        <v>334504</v>
      </c>
    </row>
    <row r="14" spans="1:8" x14ac:dyDescent="0.25">
      <c r="A14" s="40">
        <v>14</v>
      </c>
      <c r="B14" s="40">
        <v>18</v>
      </c>
      <c r="C14" s="40">
        <v>0</v>
      </c>
      <c r="D14" s="40">
        <v>0</v>
      </c>
      <c r="E14" s="41">
        <v>1126</v>
      </c>
      <c r="F14" s="41">
        <v>4235</v>
      </c>
      <c r="G14" s="41">
        <v>60905</v>
      </c>
      <c r="H14" s="41">
        <v>340806</v>
      </c>
    </row>
    <row r="15" spans="1:8" x14ac:dyDescent="0.25">
      <c r="A15" s="38">
        <v>15</v>
      </c>
      <c r="B15" s="38">
        <v>19</v>
      </c>
      <c r="C15" s="38">
        <v>0</v>
      </c>
      <c r="D15" s="38">
        <v>0</v>
      </c>
      <c r="E15" s="39">
        <v>1198</v>
      </c>
      <c r="F15" s="39">
        <v>5545</v>
      </c>
      <c r="G15" s="39">
        <v>63696</v>
      </c>
      <c r="H15" s="39">
        <v>347342</v>
      </c>
    </row>
    <row r="16" spans="1:8" x14ac:dyDescent="0.25">
      <c r="A16" s="40">
        <v>16</v>
      </c>
      <c r="B16" s="40">
        <v>20</v>
      </c>
      <c r="C16" s="40">
        <v>0</v>
      </c>
      <c r="D16" s="40">
        <v>0</v>
      </c>
      <c r="E16" s="41">
        <v>1352</v>
      </c>
      <c r="F16" s="41">
        <v>7042</v>
      </c>
      <c r="G16" s="41">
        <v>66711</v>
      </c>
      <c r="H16" s="41">
        <v>354528</v>
      </c>
    </row>
    <row r="17" spans="1:8" x14ac:dyDescent="0.25">
      <c r="A17" s="38">
        <v>17</v>
      </c>
      <c r="B17" s="38">
        <v>21</v>
      </c>
      <c r="C17" s="38">
        <v>0</v>
      </c>
      <c r="D17" s="38">
        <v>0</v>
      </c>
      <c r="E17" s="39">
        <v>1457</v>
      </c>
      <c r="F17" s="39">
        <v>8682</v>
      </c>
      <c r="G17" s="39">
        <v>69909</v>
      </c>
      <c r="H17" s="39">
        <v>362073</v>
      </c>
    </row>
    <row r="18" spans="1:8" x14ac:dyDescent="0.25">
      <c r="A18" s="40">
        <v>18</v>
      </c>
      <c r="B18" s="40">
        <v>22</v>
      </c>
      <c r="C18" s="40">
        <v>0</v>
      </c>
      <c r="D18" s="40">
        <v>0</v>
      </c>
      <c r="E18" s="41">
        <v>1568</v>
      </c>
      <c r="F18" s="41">
        <v>10477</v>
      </c>
      <c r="G18" s="41">
        <v>73299</v>
      </c>
      <c r="H18" s="41">
        <v>369990</v>
      </c>
    </row>
    <row r="19" spans="1:8" x14ac:dyDescent="0.25">
      <c r="A19" s="38">
        <v>19</v>
      </c>
      <c r="B19" s="38">
        <v>23</v>
      </c>
      <c r="C19" s="38">
        <v>0</v>
      </c>
      <c r="D19" s="38">
        <v>0</v>
      </c>
      <c r="E19" s="39">
        <v>1685</v>
      </c>
      <c r="F19" s="39">
        <v>12434</v>
      </c>
      <c r="G19" s="39">
        <v>76893</v>
      </c>
      <c r="H19" s="39">
        <v>378278</v>
      </c>
    </row>
    <row r="20" spans="1:8" x14ac:dyDescent="0.25">
      <c r="A20" s="40">
        <v>20</v>
      </c>
      <c r="B20" s="40">
        <v>24</v>
      </c>
      <c r="C20" s="40">
        <v>0</v>
      </c>
      <c r="D20" s="40">
        <v>0</v>
      </c>
      <c r="E20" s="41">
        <v>1807</v>
      </c>
      <c r="F20" s="41">
        <v>14566</v>
      </c>
      <c r="G20" s="41">
        <v>80704</v>
      </c>
      <c r="H20" s="41">
        <v>386941</v>
      </c>
    </row>
    <row r="21" spans="1:8" x14ac:dyDescent="0.25">
      <c r="A21" s="38">
        <v>21</v>
      </c>
      <c r="B21" s="38">
        <v>25</v>
      </c>
      <c r="C21" s="38">
        <v>0</v>
      </c>
      <c r="D21" s="38">
        <v>0</v>
      </c>
      <c r="E21" s="39">
        <v>1913</v>
      </c>
      <c r="F21" s="39">
        <v>16858</v>
      </c>
      <c r="G21" s="39">
        <v>84722</v>
      </c>
      <c r="H21" s="39">
        <v>395878</v>
      </c>
    </row>
    <row r="22" spans="1:8" x14ac:dyDescent="0.25">
      <c r="A22" s="40">
        <v>22</v>
      </c>
      <c r="B22" s="40">
        <v>26</v>
      </c>
      <c r="C22" s="40">
        <v>0</v>
      </c>
      <c r="D22" s="40">
        <v>0</v>
      </c>
      <c r="E22" s="41">
        <v>2008</v>
      </c>
      <c r="F22" s="41">
        <v>19306</v>
      </c>
      <c r="G22" s="41">
        <v>88943</v>
      </c>
      <c r="H22" s="41">
        <v>405022</v>
      </c>
    </row>
    <row r="23" spans="1:8" x14ac:dyDescent="0.25">
      <c r="A23" s="38">
        <v>23</v>
      </c>
      <c r="B23" s="38">
        <v>27</v>
      </c>
      <c r="C23" s="38">
        <v>0</v>
      </c>
      <c r="D23" s="38">
        <v>0</v>
      </c>
      <c r="E23" s="39">
        <v>2110</v>
      </c>
      <c r="F23" s="39">
        <v>21923</v>
      </c>
      <c r="G23" s="39">
        <v>93386</v>
      </c>
      <c r="H23" s="39">
        <v>414385</v>
      </c>
    </row>
    <row r="24" spans="1:8" x14ac:dyDescent="0.25">
      <c r="A24" s="40">
        <v>24</v>
      </c>
      <c r="B24" s="40">
        <v>28</v>
      </c>
      <c r="C24" s="40">
        <v>0</v>
      </c>
      <c r="D24" s="40">
        <v>0</v>
      </c>
      <c r="E24" s="41">
        <v>2204</v>
      </c>
      <c r="F24" s="41">
        <v>24706</v>
      </c>
      <c r="G24" s="41">
        <v>98056</v>
      </c>
      <c r="H24" s="41">
        <v>423915</v>
      </c>
    </row>
    <row r="25" spans="1:8" x14ac:dyDescent="0.25">
      <c r="A25" s="38">
        <v>25</v>
      </c>
      <c r="B25" s="38">
        <v>29</v>
      </c>
      <c r="C25" s="38">
        <v>0</v>
      </c>
      <c r="D25" s="38">
        <v>0</v>
      </c>
      <c r="E25" s="39">
        <v>2313</v>
      </c>
      <c r="F25" s="39">
        <v>27677</v>
      </c>
      <c r="G25" s="39">
        <v>102981</v>
      </c>
      <c r="H25" s="39">
        <v>433657</v>
      </c>
    </row>
    <row r="26" spans="1:8" x14ac:dyDescent="0.25">
      <c r="A26" s="40">
        <v>26</v>
      </c>
      <c r="B26" s="40">
        <v>30</v>
      </c>
      <c r="C26" s="40">
        <v>0</v>
      </c>
      <c r="D26" s="40">
        <v>0</v>
      </c>
      <c r="E26" s="41">
        <v>2427</v>
      </c>
      <c r="F26" s="41">
        <v>30845</v>
      </c>
      <c r="G26" s="41">
        <v>108162</v>
      </c>
      <c r="H26" s="41">
        <v>443612</v>
      </c>
    </row>
    <row r="27" spans="1:8" x14ac:dyDescent="0.25">
      <c r="A27" s="38">
        <v>27</v>
      </c>
      <c r="B27" s="38">
        <v>31</v>
      </c>
      <c r="C27" s="38">
        <v>0</v>
      </c>
      <c r="D27" s="38">
        <v>0</v>
      </c>
      <c r="E27" s="39">
        <v>2545</v>
      </c>
      <c r="F27" s="39">
        <v>34219</v>
      </c>
      <c r="G27" s="39">
        <v>113612</v>
      </c>
      <c r="H27" s="39">
        <v>453778</v>
      </c>
    </row>
    <row r="28" spans="1:8" x14ac:dyDescent="0.25">
      <c r="A28" s="40">
        <v>28</v>
      </c>
      <c r="B28" s="40">
        <v>32</v>
      </c>
      <c r="C28" s="40">
        <v>0</v>
      </c>
      <c r="D28" s="40">
        <v>0</v>
      </c>
      <c r="E28" s="41">
        <v>2675</v>
      </c>
      <c r="F28" s="41">
        <v>37812</v>
      </c>
      <c r="G28" s="41">
        <v>119336</v>
      </c>
      <c r="H28" s="41">
        <v>464182</v>
      </c>
    </row>
    <row r="29" spans="1:8" x14ac:dyDescent="0.25">
      <c r="A29" s="38">
        <v>29</v>
      </c>
      <c r="B29" s="38">
        <v>33</v>
      </c>
      <c r="C29" s="38">
        <v>0</v>
      </c>
      <c r="D29" s="38">
        <v>0</v>
      </c>
      <c r="E29" s="39">
        <v>2820</v>
      </c>
      <c r="F29" s="39">
        <v>41643</v>
      </c>
      <c r="G29" s="39">
        <v>125350</v>
      </c>
      <c r="H29" s="39">
        <v>474864</v>
      </c>
    </row>
    <row r="30" spans="1:8" x14ac:dyDescent="0.25">
      <c r="A30" s="40">
        <v>30</v>
      </c>
      <c r="B30" s="40">
        <v>34</v>
      </c>
      <c r="C30" s="40">
        <v>0</v>
      </c>
      <c r="D30" s="40">
        <v>0</v>
      </c>
      <c r="E30" s="41">
        <v>2966</v>
      </c>
      <c r="F30" s="41">
        <v>45718</v>
      </c>
      <c r="G30" s="41">
        <v>131654</v>
      </c>
      <c r="H30" s="41">
        <v>485807</v>
      </c>
    </row>
    <row r="31" spans="1:8" x14ac:dyDescent="0.25">
      <c r="A31" s="38">
        <v>31</v>
      </c>
      <c r="B31" s="38">
        <v>35</v>
      </c>
      <c r="C31" s="38">
        <v>0</v>
      </c>
      <c r="D31" s="38">
        <v>0</v>
      </c>
      <c r="E31" s="39">
        <v>3122</v>
      </c>
      <c r="F31" s="39">
        <v>50053</v>
      </c>
      <c r="G31" s="39">
        <v>138268</v>
      </c>
      <c r="H31" s="39">
        <v>497028</v>
      </c>
    </row>
    <row r="32" spans="1:8" x14ac:dyDescent="0.25">
      <c r="A32" s="40">
        <v>32</v>
      </c>
      <c r="B32" s="40">
        <v>36</v>
      </c>
      <c r="C32" s="40">
        <v>0</v>
      </c>
      <c r="D32" s="40">
        <v>0</v>
      </c>
      <c r="E32" s="41">
        <v>3287</v>
      </c>
      <c r="F32" s="41">
        <v>54662</v>
      </c>
      <c r="G32" s="41">
        <v>145208</v>
      </c>
      <c r="H32" s="41">
        <v>508539</v>
      </c>
    </row>
    <row r="33" spans="1:8" x14ac:dyDescent="0.25">
      <c r="A33" s="38">
        <v>33</v>
      </c>
      <c r="B33" s="38">
        <v>37</v>
      </c>
      <c r="C33" s="38">
        <v>0</v>
      </c>
      <c r="D33" s="38">
        <v>0</v>
      </c>
      <c r="E33" s="39">
        <v>3467</v>
      </c>
      <c r="F33" s="39">
        <v>59560</v>
      </c>
      <c r="G33" s="39">
        <v>152479</v>
      </c>
      <c r="H33" s="39">
        <v>520370</v>
      </c>
    </row>
    <row r="34" spans="1:8" x14ac:dyDescent="0.25">
      <c r="A34" s="40">
        <v>34</v>
      </c>
      <c r="B34" s="40">
        <v>38</v>
      </c>
      <c r="C34" s="40">
        <v>0</v>
      </c>
      <c r="D34" s="40">
        <v>0</v>
      </c>
      <c r="E34" s="41">
        <v>3652</v>
      </c>
      <c r="F34" s="41">
        <v>64766</v>
      </c>
      <c r="G34" s="41">
        <v>160107</v>
      </c>
      <c r="H34" s="41">
        <v>532517</v>
      </c>
    </row>
    <row r="35" spans="1:8" x14ac:dyDescent="0.25">
      <c r="A35" s="38">
        <v>35</v>
      </c>
      <c r="B35" s="38">
        <v>39</v>
      </c>
      <c r="C35" s="38">
        <v>0</v>
      </c>
      <c r="D35" s="38">
        <v>0</v>
      </c>
      <c r="E35" s="39">
        <v>3855</v>
      </c>
      <c r="F35" s="39">
        <v>70294</v>
      </c>
      <c r="G35" s="39">
        <v>168099</v>
      </c>
      <c r="H35" s="39">
        <v>545016</v>
      </c>
    </row>
    <row r="36" spans="1:8" x14ac:dyDescent="0.25">
      <c r="A36" s="40">
        <v>36</v>
      </c>
      <c r="B36" s="40">
        <v>40</v>
      </c>
      <c r="C36" s="40">
        <v>0</v>
      </c>
      <c r="D36" s="40">
        <v>0</v>
      </c>
      <c r="E36" s="41">
        <v>4066</v>
      </c>
      <c r="F36" s="41">
        <v>76168</v>
      </c>
      <c r="G36" s="41">
        <v>176488</v>
      </c>
      <c r="H36" s="41">
        <v>557869</v>
      </c>
    </row>
    <row r="37" spans="1:8" x14ac:dyDescent="0.25">
      <c r="A37" s="38">
        <v>37</v>
      </c>
      <c r="B37" s="38">
        <v>41</v>
      </c>
      <c r="C37" s="38">
        <v>0</v>
      </c>
      <c r="D37" s="38">
        <v>0</v>
      </c>
      <c r="E37" s="39">
        <v>4282</v>
      </c>
      <c r="F37" s="39">
        <v>82393</v>
      </c>
      <c r="G37" s="39">
        <v>185272</v>
      </c>
      <c r="H37" s="39">
        <v>571069</v>
      </c>
    </row>
    <row r="38" spans="1:8" x14ac:dyDescent="0.25">
      <c r="A38" s="40">
        <v>38</v>
      </c>
      <c r="B38" s="40">
        <v>42</v>
      </c>
      <c r="C38" s="40">
        <v>0</v>
      </c>
      <c r="D38" s="40">
        <v>0</v>
      </c>
      <c r="E38" s="41">
        <v>4519</v>
      </c>
      <c r="F38" s="41">
        <v>89000</v>
      </c>
      <c r="G38" s="41">
        <v>194485</v>
      </c>
      <c r="H38" s="41">
        <v>584653</v>
      </c>
    </row>
    <row r="39" spans="1:8" x14ac:dyDescent="0.25">
      <c r="A39" s="38">
        <v>39</v>
      </c>
      <c r="B39" s="38">
        <v>43</v>
      </c>
      <c r="C39" s="38">
        <v>0</v>
      </c>
      <c r="D39" s="38">
        <v>0</v>
      </c>
      <c r="E39" s="39">
        <v>4764</v>
      </c>
      <c r="F39" s="39">
        <v>96011</v>
      </c>
      <c r="G39" s="39">
        <v>204160</v>
      </c>
      <c r="H39" s="39">
        <v>598623</v>
      </c>
    </row>
    <row r="40" spans="1:8" x14ac:dyDescent="0.25">
      <c r="A40" s="40">
        <v>40</v>
      </c>
      <c r="B40" s="40">
        <v>44</v>
      </c>
      <c r="C40" s="40">
        <v>0</v>
      </c>
      <c r="D40" s="40">
        <v>0</v>
      </c>
      <c r="E40" s="41">
        <v>5011</v>
      </c>
      <c r="F40" s="41">
        <v>103455</v>
      </c>
      <c r="G40" s="41">
        <v>214344</v>
      </c>
      <c r="H40" s="41">
        <v>612954</v>
      </c>
    </row>
    <row r="41" spans="1:8" x14ac:dyDescent="0.25">
      <c r="A41" s="38">
        <v>41</v>
      </c>
      <c r="B41" s="38">
        <v>45</v>
      </c>
      <c r="C41" s="38">
        <v>0</v>
      </c>
      <c r="D41" s="38">
        <v>0</v>
      </c>
      <c r="E41" s="39">
        <v>5261</v>
      </c>
      <c r="F41" s="39">
        <v>111341</v>
      </c>
      <c r="G41" s="39">
        <v>225042</v>
      </c>
      <c r="H41" s="39">
        <v>627627</v>
      </c>
    </row>
    <row r="42" spans="1:8" x14ac:dyDescent="0.25">
      <c r="A42" s="40">
        <v>42</v>
      </c>
      <c r="B42" s="40">
        <v>46</v>
      </c>
      <c r="C42" s="40">
        <v>0</v>
      </c>
      <c r="D42" s="40">
        <v>0</v>
      </c>
      <c r="E42" s="41">
        <v>5536</v>
      </c>
      <c r="F42" s="41">
        <v>119706</v>
      </c>
      <c r="G42" s="41">
        <v>236296</v>
      </c>
      <c r="H42" s="41">
        <v>642685</v>
      </c>
    </row>
    <row r="43" spans="1:8" x14ac:dyDescent="0.25">
      <c r="A43" s="38">
        <v>43</v>
      </c>
      <c r="B43" s="38">
        <v>47</v>
      </c>
      <c r="C43" s="38">
        <v>0</v>
      </c>
      <c r="D43" s="38">
        <v>0</v>
      </c>
      <c r="E43" s="39">
        <v>5812</v>
      </c>
      <c r="F43" s="39">
        <v>128568</v>
      </c>
      <c r="G43" s="39">
        <v>248130</v>
      </c>
      <c r="H43" s="39">
        <v>658100</v>
      </c>
    </row>
    <row r="44" spans="1:8" x14ac:dyDescent="0.25">
      <c r="A44" s="40">
        <v>44</v>
      </c>
      <c r="B44" s="40">
        <v>48</v>
      </c>
      <c r="C44" s="40">
        <v>0</v>
      </c>
      <c r="D44" s="40">
        <v>0</v>
      </c>
      <c r="E44" s="41">
        <v>6105</v>
      </c>
      <c r="F44" s="41">
        <v>137957</v>
      </c>
      <c r="G44" s="41">
        <v>260572</v>
      </c>
      <c r="H44" s="41">
        <v>673888</v>
      </c>
    </row>
    <row r="45" spans="1:8" x14ac:dyDescent="0.25">
      <c r="A45" s="38">
        <v>45</v>
      </c>
      <c r="B45" s="38">
        <v>49</v>
      </c>
      <c r="C45" s="38">
        <v>0</v>
      </c>
      <c r="D45" s="38">
        <v>0</v>
      </c>
      <c r="E45" s="39">
        <v>6419</v>
      </c>
      <c r="F45" s="39">
        <v>147908</v>
      </c>
      <c r="G45" s="39">
        <v>273662</v>
      </c>
      <c r="H45" s="39">
        <v>690073</v>
      </c>
    </row>
    <row r="46" spans="1:8" x14ac:dyDescent="0.25">
      <c r="A46" s="40">
        <v>46</v>
      </c>
      <c r="B46" s="40">
        <v>50</v>
      </c>
      <c r="C46" s="40">
        <v>0</v>
      </c>
      <c r="D46" s="40">
        <v>0</v>
      </c>
      <c r="E46" s="41">
        <v>6730</v>
      </c>
      <c r="F46" s="41">
        <v>158439</v>
      </c>
      <c r="G46" s="41">
        <v>287425</v>
      </c>
      <c r="H46" s="41">
        <v>706619</v>
      </c>
    </row>
    <row r="47" spans="1:8" x14ac:dyDescent="0.25">
      <c r="A47" s="38">
        <v>47</v>
      </c>
      <c r="B47" s="38">
        <v>51</v>
      </c>
      <c r="C47" s="38">
        <v>0</v>
      </c>
      <c r="D47" s="38">
        <v>0</v>
      </c>
      <c r="E47" s="39">
        <v>7078</v>
      </c>
      <c r="F47" s="39">
        <v>169587</v>
      </c>
      <c r="G47" s="39">
        <v>301886</v>
      </c>
      <c r="H47" s="39">
        <v>723584</v>
      </c>
    </row>
    <row r="48" spans="1:8" x14ac:dyDescent="0.25">
      <c r="A48" s="40">
        <v>48</v>
      </c>
      <c r="B48" s="40">
        <v>52</v>
      </c>
      <c r="C48" s="40">
        <v>0</v>
      </c>
      <c r="D48" s="40">
        <v>0</v>
      </c>
      <c r="E48" s="41">
        <v>7442</v>
      </c>
      <c r="F48" s="41">
        <v>181382</v>
      </c>
      <c r="G48" s="41">
        <v>317078</v>
      </c>
      <c r="H48" s="41">
        <v>740975</v>
      </c>
    </row>
    <row r="49" spans="1:8" x14ac:dyDescent="0.25">
      <c r="A49" s="38">
        <v>49</v>
      </c>
      <c r="B49" s="38">
        <v>53</v>
      </c>
      <c r="C49" s="38">
        <v>0</v>
      </c>
      <c r="D49" s="38">
        <v>0</v>
      </c>
      <c r="E49" s="39">
        <v>7820</v>
      </c>
      <c r="F49" s="39">
        <v>193844</v>
      </c>
      <c r="G49" s="39">
        <v>333012</v>
      </c>
      <c r="H49" s="39">
        <v>758794</v>
      </c>
    </row>
    <row r="50" spans="1:8" x14ac:dyDescent="0.25">
      <c r="A50" s="40">
        <v>50</v>
      </c>
      <c r="B50" s="40">
        <v>54</v>
      </c>
      <c r="C50" s="40">
        <v>0</v>
      </c>
      <c r="D50" s="40">
        <v>0</v>
      </c>
      <c r="E50" s="41">
        <v>8220</v>
      </c>
      <c r="F50" s="41">
        <v>207002</v>
      </c>
      <c r="G50" s="41">
        <v>349716</v>
      </c>
      <c r="H50" s="41">
        <v>777060</v>
      </c>
    </row>
    <row r="51" spans="1:8" x14ac:dyDescent="0.25">
      <c r="A51" s="38">
        <v>51</v>
      </c>
      <c r="B51" s="38">
        <v>55</v>
      </c>
      <c r="C51" s="38">
        <v>0</v>
      </c>
      <c r="D51" s="38">
        <v>0</v>
      </c>
      <c r="E51" s="39">
        <v>8645</v>
      </c>
      <c r="F51" s="39">
        <v>220904</v>
      </c>
      <c r="G51" s="39">
        <v>367242</v>
      </c>
      <c r="H51" s="39">
        <v>795792</v>
      </c>
    </row>
    <row r="52" spans="1:8" x14ac:dyDescent="0.25">
      <c r="A52" s="40">
        <v>52</v>
      </c>
      <c r="B52" s="40">
        <v>56</v>
      </c>
      <c r="C52" s="40">
        <v>0</v>
      </c>
      <c r="D52" s="40">
        <v>0</v>
      </c>
      <c r="E52" s="41">
        <v>9112</v>
      </c>
      <c r="F52" s="41">
        <v>235593</v>
      </c>
      <c r="G52" s="41">
        <v>385625</v>
      </c>
      <c r="H52" s="41">
        <v>815052</v>
      </c>
    </row>
    <row r="53" spans="1:8" x14ac:dyDescent="0.25">
      <c r="A53" s="38">
        <v>53</v>
      </c>
      <c r="B53" s="38">
        <v>57</v>
      </c>
      <c r="C53" s="38">
        <v>0</v>
      </c>
      <c r="D53" s="38">
        <v>0</v>
      </c>
      <c r="E53" s="39">
        <v>9623</v>
      </c>
      <c r="F53" s="39">
        <v>251127</v>
      </c>
      <c r="G53" s="39">
        <v>404923</v>
      </c>
      <c r="H53" s="39">
        <v>834894</v>
      </c>
    </row>
    <row r="54" spans="1:8" x14ac:dyDescent="0.25">
      <c r="A54" s="40">
        <v>54</v>
      </c>
      <c r="B54" s="40">
        <v>58</v>
      </c>
      <c r="C54" s="40">
        <v>0</v>
      </c>
      <c r="D54" s="40">
        <v>0</v>
      </c>
      <c r="E54" s="41">
        <v>10172</v>
      </c>
      <c r="F54" s="41">
        <v>267549</v>
      </c>
      <c r="G54" s="41">
        <v>425173</v>
      </c>
      <c r="H54" s="41">
        <v>855358</v>
      </c>
    </row>
    <row r="55" spans="1:8" x14ac:dyDescent="0.25">
      <c r="A55" s="38">
        <v>55</v>
      </c>
      <c r="B55" s="38">
        <v>59</v>
      </c>
      <c r="C55" s="38">
        <v>0</v>
      </c>
      <c r="D55" s="38">
        <v>0</v>
      </c>
      <c r="E55" s="39">
        <v>10767</v>
      </c>
      <c r="F55" s="39">
        <v>284925</v>
      </c>
      <c r="G55" s="39">
        <v>446443</v>
      </c>
      <c r="H55" s="39">
        <v>876496</v>
      </c>
    </row>
    <row r="56" spans="1:8" x14ac:dyDescent="0.25">
      <c r="A56" s="40">
        <v>56</v>
      </c>
      <c r="B56" s="40">
        <v>60</v>
      </c>
      <c r="C56" s="40">
        <v>0</v>
      </c>
      <c r="D56" s="40">
        <v>0</v>
      </c>
      <c r="E56" s="41">
        <v>11407</v>
      </c>
      <c r="F56" s="41">
        <v>303297</v>
      </c>
      <c r="G56" s="41">
        <v>468763</v>
      </c>
      <c r="H56" s="41">
        <v>898357</v>
      </c>
    </row>
    <row r="57" spans="1:8" x14ac:dyDescent="0.25">
      <c r="A57" s="38">
        <v>57</v>
      </c>
      <c r="B57" s="38">
        <v>61</v>
      </c>
      <c r="C57" s="38">
        <v>0</v>
      </c>
      <c r="D57" s="38">
        <v>0</v>
      </c>
      <c r="E57" s="39">
        <v>12082</v>
      </c>
      <c r="F57" s="39">
        <v>322709</v>
      </c>
      <c r="G57" s="39">
        <v>492174</v>
      </c>
      <c r="H57" s="39">
        <v>920966</v>
      </c>
    </row>
    <row r="58" spans="1:8" x14ac:dyDescent="0.25">
      <c r="A58" s="40">
        <v>58</v>
      </c>
      <c r="B58" s="40">
        <v>62</v>
      </c>
      <c r="C58" s="40">
        <v>0</v>
      </c>
      <c r="D58" s="40">
        <v>0</v>
      </c>
      <c r="E58" s="41">
        <v>12778</v>
      </c>
      <c r="F58" s="41">
        <v>343186</v>
      </c>
      <c r="G58" s="41">
        <v>516694</v>
      </c>
      <c r="H58" s="41">
        <v>944320</v>
      </c>
    </row>
    <row r="59" spans="1:8" x14ac:dyDescent="0.25">
      <c r="A59" s="38">
        <v>59</v>
      </c>
      <c r="B59" s="38">
        <v>63</v>
      </c>
      <c r="C59" s="38">
        <v>0</v>
      </c>
      <c r="D59" s="38">
        <v>0</v>
      </c>
      <c r="E59" s="39">
        <v>13507</v>
      </c>
      <c r="F59" s="39">
        <v>364766</v>
      </c>
      <c r="G59" s="39">
        <v>542354</v>
      </c>
      <c r="H59" s="39">
        <v>968438</v>
      </c>
    </row>
    <row r="60" spans="1:8" x14ac:dyDescent="0.25">
      <c r="A60" s="40">
        <v>60</v>
      </c>
      <c r="B60" s="40">
        <v>64</v>
      </c>
      <c r="C60" s="40">
        <v>0</v>
      </c>
      <c r="D60" s="40">
        <v>0</v>
      </c>
      <c r="E60" s="41">
        <v>14274</v>
      </c>
      <c r="F60" s="41">
        <v>387488</v>
      </c>
      <c r="G60" s="41">
        <v>569189</v>
      </c>
      <c r="H60" s="41">
        <v>993349</v>
      </c>
    </row>
    <row r="61" spans="1:8" x14ac:dyDescent="0.25">
      <c r="A61" s="38">
        <v>61</v>
      </c>
      <c r="B61" s="38">
        <v>65</v>
      </c>
      <c r="C61" s="38">
        <v>0</v>
      </c>
      <c r="D61" s="38">
        <v>0</v>
      </c>
      <c r="E61" s="39">
        <v>15095</v>
      </c>
      <c r="F61" s="39">
        <v>411421</v>
      </c>
      <c r="G61" s="39">
        <v>597267</v>
      </c>
      <c r="H61" s="39">
        <v>1019106</v>
      </c>
    </row>
    <row r="62" spans="1:8" x14ac:dyDescent="0.25">
      <c r="A62" s="40">
        <v>62</v>
      </c>
      <c r="B62" s="40">
        <v>66</v>
      </c>
      <c r="C62" s="40">
        <v>0</v>
      </c>
      <c r="D62" s="40">
        <v>0</v>
      </c>
      <c r="E62" s="41">
        <v>15942</v>
      </c>
      <c r="F62" s="41">
        <v>436594</v>
      </c>
      <c r="G62" s="41">
        <v>626610</v>
      </c>
      <c r="H62" s="41">
        <v>1045710</v>
      </c>
    </row>
    <row r="63" spans="1:8" x14ac:dyDescent="0.25">
      <c r="A63" s="38">
        <v>63</v>
      </c>
      <c r="B63" s="38">
        <v>67</v>
      </c>
      <c r="C63" s="38">
        <v>0</v>
      </c>
      <c r="D63" s="38">
        <v>0</v>
      </c>
      <c r="E63" s="39">
        <v>16819</v>
      </c>
      <c r="F63" s="39">
        <v>463074</v>
      </c>
      <c r="G63" s="39">
        <v>657295</v>
      </c>
      <c r="H63" s="39">
        <v>1073170</v>
      </c>
    </row>
    <row r="64" spans="1:8" x14ac:dyDescent="0.25">
      <c r="A64" s="40">
        <v>64</v>
      </c>
      <c r="B64" s="40">
        <v>68</v>
      </c>
      <c r="C64" s="40">
        <v>0</v>
      </c>
      <c r="D64" s="40">
        <v>0</v>
      </c>
      <c r="E64" s="41">
        <v>17741</v>
      </c>
      <c r="F64" s="41">
        <v>490916</v>
      </c>
      <c r="G64" s="41">
        <v>689374</v>
      </c>
      <c r="H64" s="41">
        <v>1101517</v>
      </c>
    </row>
    <row r="65" spans="1:8" x14ac:dyDescent="0.25">
      <c r="A65" s="38">
        <v>65</v>
      </c>
      <c r="B65" s="38">
        <v>69</v>
      </c>
      <c r="C65" s="38">
        <v>0</v>
      </c>
      <c r="D65" s="38">
        <v>0</v>
      </c>
      <c r="E65" s="39">
        <v>18703</v>
      </c>
      <c r="F65" s="39">
        <v>520185</v>
      </c>
      <c r="G65" s="39">
        <v>722914</v>
      </c>
      <c r="H65" s="39">
        <v>1130773</v>
      </c>
    </row>
    <row r="66" spans="1:8" x14ac:dyDescent="0.25">
      <c r="A66" s="40">
        <v>66</v>
      </c>
      <c r="B66" s="40">
        <v>70</v>
      </c>
      <c r="C66" s="40">
        <v>0</v>
      </c>
      <c r="D66" s="40">
        <v>0</v>
      </c>
      <c r="E66" s="41">
        <v>19707</v>
      </c>
      <c r="F66" s="41">
        <v>550926</v>
      </c>
      <c r="G66" s="41">
        <v>757955</v>
      </c>
      <c r="H66" s="41">
        <v>1160958</v>
      </c>
    </row>
    <row r="67" spans="1:8" x14ac:dyDescent="0.25">
      <c r="A67" s="38">
        <v>67</v>
      </c>
      <c r="B67" s="38">
        <v>71</v>
      </c>
      <c r="C67" s="38">
        <v>0</v>
      </c>
      <c r="D67" s="38">
        <v>0</v>
      </c>
      <c r="E67" s="39">
        <v>20778</v>
      </c>
      <c r="F67" s="39">
        <v>583180</v>
      </c>
      <c r="G67" s="39">
        <v>794522</v>
      </c>
      <c r="H67" s="39">
        <v>1192135</v>
      </c>
    </row>
    <row r="68" spans="1:8" x14ac:dyDescent="0.25">
      <c r="A68" s="40">
        <v>68</v>
      </c>
      <c r="B68" s="40">
        <v>72</v>
      </c>
      <c r="C68" s="40">
        <v>0</v>
      </c>
      <c r="D68" s="40">
        <v>0</v>
      </c>
      <c r="E68" s="41">
        <v>21916</v>
      </c>
      <c r="F68" s="41">
        <v>617006</v>
      </c>
      <c r="G68" s="41">
        <v>832663</v>
      </c>
      <c r="H68" s="41">
        <v>1224360</v>
      </c>
    </row>
    <row r="69" spans="1:8" x14ac:dyDescent="0.25">
      <c r="A69" s="38">
        <v>69</v>
      </c>
      <c r="B69" s="38">
        <v>73</v>
      </c>
      <c r="C69" s="38">
        <v>0</v>
      </c>
      <c r="D69" s="38">
        <v>0</v>
      </c>
      <c r="E69" s="39">
        <v>23133</v>
      </c>
      <c r="F69" s="39">
        <v>652422</v>
      </c>
      <c r="G69" s="39">
        <v>872373</v>
      </c>
      <c r="H69" s="39">
        <v>1257711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8A84-4D23-4E98-A9EA-94C89F285B65}">
  <dimension ref="A1:AK119"/>
  <sheetViews>
    <sheetView topLeftCell="S1" workbookViewId="0">
      <selection activeCell="AN5" sqref="AN5"/>
    </sheetView>
  </sheetViews>
  <sheetFormatPr defaultRowHeight="15" x14ac:dyDescent="0.25"/>
  <cols>
    <col min="1" max="18" width="0" hidden="1" customWidth="1"/>
  </cols>
  <sheetData>
    <row r="1" spans="1:37" x14ac:dyDescent="0.25">
      <c r="B1" s="1">
        <v>5</v>
      </c>
      <c r="C1" s="2">
        <v>2500</v>
      </c>
      <c r="D1" s="2">
        <v>2500</v>
      </c>
      <c r="E1" s="1">
        <v>277</v>
      </c>
      <c r="F1" s="1">
        <v>277</v>
      </c>
      <c r="G1" s="1">
        <v>294</v>
      </c>
      <c r="H1" s="2">
        <v>220095</v>
      </c>
      <c r="L1" s="1">
        <v>44</v>
      </c>
      <c r="M1" s="2">
        <v>6878</v>
      </c>
      <c r="N1" s="2">
        <v>6878</v>
      </c>
      <c r="O1" s="1">
        <v>167</v>
      </c>
      <c r="P1" s="1">
        <v>167</v>
      </c>
      <c r="Q1" s="2">
        <v>2413</v>
      </c>
      <c r="R1" s="2">
        <v>100343</v>
      </c>
      <c r="V1" s="1">
        <v>5</v>
      </c>
      <c r="W1" s="2">
        <v>3280</v>
      </c>
      <c r="X1" s="2">
        <v>3280</v>
      </c>
      <c r="Y1" s="1">
        <v>96</v>
      </c>
      <c r="Z1" s="1">
        <v>96</v>
      </c>
      <c r="AA1" s="2">
        <v>1183</v>
      </c>
      <c r="AB1" s="2">
        <v>100402</v>
      </c>
      <c r="AD1" s="1">
        <v>5</v>
      </c>
      <c r="AF1" s="2">
        <v>2500</v>
      </c>
      <c r="AG1" s="2">
        <v>2500</v>
      </c>
      <c r="AH1" s="1">
        <v>152</v>
      </c>
      <c r="AI1" s="2">
        <v>1310</v>
      </c>
      <c r="AJ1" s="2">
        <v>1310</v>
      </c>
      <c r="AK1" s="2">
        <v>180186</v>
      </c>
    </row>
    <row r="2" spans="1:37" x14ac:dyDescent="0.25">
      <c r="A2" s="3">
        <v>2</v>
      </c>
      <c r="B2" s="3">
        <v>6</v>
      </c>
      <c r="C2" s="4">
        <v>2500</v>
      </c>
      <c r="D2" s="4">
        <v>2500</v>
      </c>
      <c r="E2" s="3">
        <v>294</v>
      </c>
      <c r="F2" s="3">
        <v>579</v>
      </c>
      <c r="G2" s="3">
        <v>759</v>
      </c>
      <c r="H2" s="4">
        <v>222407</v>
      </c>
      <c r="K2" s="3">
        <v>2</v>
      </c>
      <c r="L2" s="3">
        <v>45</v>
      </c>
      <c r="M2" s="4">
        <v>6878</v>
      </c>
      <c r="N2" s="4">
        <v>6878</v>
      </c>
      <c r="O2" s="3">
        <v>427</v>
      </c>
      <c r="P2" s="3">
        <v>597</v>
      </c>
      <c r="Q2" s="4">
        <v>6774</v>
      </c>
      <c r="R2" s="4">
        <v>101203</v>
      </c>
      <c r="U2" s="3">
        <v>2</v>
      </c>
      <c r="V2" s="3">
        <v>6</v>
      </c>
      <c r="W2" s="4">
        <v>3280</v>
      </c>
      <c r="X2" s="4">
        <v>3280</v>
      </c>
      <c r="Y2" s="3">
        <v>175</v>
      </c>
      <c r="Z2" s="3">
        <v>273</v>
      </c>
      <c r="AA2" s="4">
        <v>3263</v>
      </c>
      <c r="AB2" s="4">
        <v>101122</v>
      </c>
      <c r="AD2" s="3">
        <v>2</v>
      </c>
      <c r="AE2" s="3">
        <v>6</v>
      </c>
      <c r="AF2" s="4">
        <v>2500</v>
      </c>
      <c r="AG2" s="4">
        <v>2500</v>
      </c>
      <c r="AH2" s="3">
        <v>187</v>
      </c>
      <c r="AI2" s="4">
        <v>2693</v>
      </c>
      <c r="AJ2" s="4">
        <v>2852</v>
      </c>
      <c r="AK2" s="4">
        <v>190771</v>
      </c>
    </row>
    <row r="3" spans="1:37" x14ac:dyDescent="0.25">
      <c r="A3" s="1">
        <v>3</v>
      </c>
      <c r="B3" s="1">
        <v>7</v>
      </c>
      <c r="C3" s="2">
        <v>2500</v>
      </c>
      <c r="D3" s="2">
        <v>2500</v>
      </c>
      <c r="E3" s="1">
        <v>320</v>
      </c>
      <c r="F3" s="1">
        <v>916</v>
      </c>
      <c r="G3" s="2">
        <v>3083</v>
      </c>
      <c r="H3" s="2">
        <v>224855</v>
      </c>
      <c r="K3" s="1">
        <v>3</v>
      </c>
      <c r="L3" s="1">
        <v>46</v>
      </c>
      <c r="M3" s="2">
        <v>6878</v>
      </c>
      <c r="N3" s="2">
        <v>6878</v>
      </c>
      <c r="O3" s="1">
        <v>707</v>
      </c>
      <c r="P3" s="2">
        <v>1315</v>
      </c>
      <c r="Q3" s="2">
        <v>13373</v>
      </c>
      <c r="R3" s="2">
        <v>102605</v>
      </c>
      <c r="U3" s="1">
        <v>3</v>
      </c>
      <c r="V3" s="1">
        <v>7</v>
      </c>
      <c r="W3" s="2">
        <v>3280</v>
      </c>
      <c r="X3" s="2">
        <v>3280</v>
      </c>
      <c r="Y3" s="1">
        <v>260</v>
      </c>
      <c r="Z3" s="1">
        <v>539</v>
      </c>
      <c r="AA3" s="2">
        <v>6496</v>
      </c>
      <c r="AB3" s="2">
        <v>102170</v>
      </c>
      <c r="AD3" s="1">
        <v>3</v>
      </c>
      <c r="AE3" s="1">
        <v>7</v>
      </c>
      <c r="AF3" s="2">
        <v>2500</v>
      </c>
      <c r="AG3" s="2">
        <v>2500</v>
      </c>
      <c r="AH3" s="1">
        <v>228</v>
      </c>
      <c r="AI3" s="2">
        <v>4158</v>
      </c>
      <c r="AJ3" s="2">
        <v>5119</v>
      </c>
      <c r="AK3" s="2">
        <v>201366</v>
      </c>
    </row>
    <row r="4" spans="1:37" x14ac:dyDescent="0.25">
      <c r="A4" s="3">
        <v>4</v>
      </c>
      <c r="B4" s="3">
        <v>8</v>
      </c>
      <c r="C4" s="4">
        <v>2500</v>
      </c>
      <c r="D4" s="4">
        <v>2500</v>
      </c>
      <c r="E4" s="3">
        <v>341</v>
      </c>
      <c r="F4" s="4">
        <v>1283</v>
      </c>
      <c r="G4" s="4">
        <v>5499</v>
      </c>
      <c r="H4" s="4">
        <v>227386</v>
      </c>
      <c r="K4" s="3">
        <v>4</v>
      </c>
      <c r="L4" s="3">
        <v>47</v>
      </c>
      <c r="M4" s="4">
        <v>6878</v>
      </c>
      <c r="N4" s="4">
        <v>6878</v>
      </c>
      <c r="O4" s="4">
        <v>1003</v>
      </c>
      <c r="P4" s="4">
        <v>2340</v>
      </c>
      <c r="Q4" s="4">
        <v>20407</v>
      </c>
      <c r="R4" s="4">
        <v>104558</v>
      </c>
      <c r="U4" s="3">
        <v>4</v>
      </c>
      <c r="V4" s="3">
        <v>8</v>
      </c>
      <c r="W4" s="4">
        <v>3280</v>
      </c>
      <c r="X4" s="4">
        <v>3280</v>
      </c>
      <c r="Y4" s="3">
        <v>350</v>
      </c>
      <c r="Z4" s="3">
        <v>900</v>
      </c>
      <c r="AA4" s="4">
        <v>9883</v>
      </c>
      <c r="AB4" s="4">
        <v>103554</v>
      </c>
      <c r="AD4" s="3">
        <v>4</v>
      </c>
      <c r="AE4" s="3">
        <v>8</v>
      </c>
      <c r="AF4" s="4">
        <v>2500</v>
      </c>
      <c r="AG4" s="4">
        <v>2500</v>
      </c>
      <c r="AH4" s="3">
        <v>268</v>
      </c>
      <c r="AI4" s="4">
        <v>5705</v>
      </c>
      <c r="AJ4" s="4">
        <v>7491</v>
      </c>
      <c r="AK4" s="4">
        <v>211958</v>
      </c>
    </row>
    <row r="5" spans="1:37" x14ac:dyDescent="0.25">
      <c r="A5" s="1">
        <v>5</v>
      </c>
      <c r="B5" s="1">
        <v>9</v>
      </c>
      <c r="C5" s="2">
        <v>2500</v>
      </c>
      <c r="D5" s="2">
        <v>2500</v>
      </c>
      <c r="E5" s="1">
        <v>364</v>
      </c>
      <c r="F5" s="2">
        <v>1685</v>
      </c>
      <c r="G5" s="2">
        <v>8012</v>
      </c>
      <c r="H5" s="2">
        <v>230015</v>
      </c>
      <c r="K5" s="1">
        <v>5</v>
      </c>
      <c r="L5" s="1">
        <v>48</v>
      </c>
      <c r="M5" s="2">
        <v>6878</v>
      </c>
      <c r="N5" s="2">
        <v>6878</v>
      </c>
      <c r="O5" s="2">
        <v>1316</v>
      </c>
      <c r="P5" s="2">
        <v>3697</v>
      </c>
      <c r="Q5" s="2">
        <v>27903</v>
      </c>
      <c r="R5" s="2">
        <v>107077</v>
      </c>
      <c r="U5" s="1">
        <v>5</v>
      </c>
      <c r="V5" s="1">
        <v>9</v>
      </c>
      <c r="W5" s="2">
        <v>3280</v>
      </c>
      <c r="X5" s="2">
        <v>3280</v>
      </c>
      <c r="Y5" s="1">
        <v>444</v>
      </c>
      <c r="Z5" s="2">
        <v>1362</v>
      </c>
      <c r="AA5" s="2">
        <v>13433</v>
      </c>
      <c r="AB5" s="2">
        <v>105275</v>
      </c>
      <c r="AD5" s="1">
        <v>5</v>
      </c>
      <c r="AE5" s="1">
        <v>9</v>
      </c>
      <c r="AF5" s="2">
        <v>2500</v>
      </c>
      <c r="AG5" s="2">
        <v>2500</v>
      </c>
      <c r="AH5" s="1">
        <v>308</v>
      </c>
      <c r="AI5" s="2">
        <v>7340</v>
      </c>
      <c r="AJ5" s="2">
        <v>9978</v>
      </c>
      <c r="AK5" s="2">
        <v>222540</v>
      </c>
    </row>
    <row r="6" spans="1:37" x14ac:dyDescent="0.25">
      <c r="A6" s="3">
        <v>6</v>
      </c>
      <c r="B6" s="3">
        <v>10</v>
      </c>
      <c r="C6" s="4">
        <v>2500</v>
      </c>
      <c r="D6" s="4">
        <v>2500</v>
      </c>
      <c r="E6" s="3">
        <v>393</v>
      </c>
      <c r="F6" s="4">
        <v>2128</v>
      </c>
      <c r="G6" s="4">
        <v>10628</v>
      </c>
      <c r="H6" s="4">
        <v>232768</v>
      </c>
      <c r="K6" s="3">
        <v>6</v>
      </c>
      <c r="L6" s="3">
        <v>49</v>
      </c>
      <c r="M6" s="4">
        <v>6878</v>
      </c>
      <c r="N6" s="4">
        <v>6878</v>
      </c>
      <c r="O6" s="4">
        <v>1510</v>
      </c>
      <c r="P6" s="4">
        <v>5272</v>
      </c>
      <c r="Q6" s="4">
        <v>35751</v>
      </c>
      <c r="R6" s="4">
        <v>109918</v>
      </c>
      <c r="U6" s="3">
        <v>6</v>
      </c>
      <c r="V6" s="3">
        <v>10</v>
      </c>
      <c r="W6" s="4">
        <v>3280</v>
      </c>
      <c r="X6" s="4">
        <v>3280</v>
      </c>
      <c r="Y6" s="3">
        <v>571</v>
      </c>
      <c r="Z6" s="4">
        <v>1960</v>
      </c>
      <c r="AA6" s="4">
        <v>17181</v>
      </c>
      <c r="AB6" s="4">
        <v>107444</v>
      </c>
      <c r="AD6" s="3">
        <v>6</v>
      </c>
      <c r="AE6" s="3">
        <v>10</v>
      </c>
      <c r="AF6" s="4">
        <v>2500</v>
      </c>
      <c r="AG6" s="4">
        <v>2500</v>
      </c>
      <c r="AH6" s="3">
        <v>357</v>
      </c>
      <c r="AI6" s="4">
        <v>9071</v>
      </c>
      <c r="AJ6" s="4">
        <v>12586</v>
      </c>
      <c r="AK6" s="4">
        <v>233160</v>
      </c>
    </row>
    <row r="7" spans="1:37" x14ac:dyDescent="0.25">
      <c r="A7" s="1">
        <v>7</v>
      </c>
      <c r="B7" s="1">
        <v>11</v>
      </c>
      <c r="C7" s="2">
        <v>2500</v>
      </c>
      <c r="D7" s="2">
        <v>2500</v>
      </c>
      <c r="E7" s="1">
        <v>468</v>
      </c>
      <c r="F7" s="2">
        <v>2658</v>
      </c>
      <c r="G7" s="2">
        <v>13398</v>
      </c>
      <c r="H7" s="2">
        <v>235954</v>
      </c>
      <c r="K7" s="1">
        <v>7</v>
      </c>
      <c r="L7" s="1">
        <v>50</v>
      </c>
      <c r="M7" s="2">
        <v>6878</v>
      </c>
      <c r="N7" s="2">
        <v>6878</v>
      </c>
      <c r="O7" s="2">
        <v>1716</v>
      </c>
      <c r="P7" s="2">
        <v>7081</v>
      </c>
      <c r="Q7" s="2">
        <v>43972</v>
      </c>
      <c r="R7" s="2">
        <v>113091</v>
      </c>
      <c r="U7" s="1">
        <v>7</v>
      </c>
      <c r="V7" s="1">
        <v>11</v>
      </c>
      <c r="W7" s="2">
        <v>3280</v>
      </c>
      <c r="X7" s="2">
        <v>3280</v>
      </c>
      <c r="Y7" s="1">
        <v>704</v>
      </c>
      <c r="Z7" s="2">
        <v>2702</v>
      </c>
      <c r="AA7" s="2">
        <v>21136</v>
      </c>
      <c r="AB7" s="2">
        <v>110068</v>
      </c>
      <c r="AD7" s="1">
        <v>7</v>
      </c>
      <c r="AE7" s="1">
        <v>11</v>
      </c>
      <c r="AF7" s="2">
        <v>2500</v>
      </c>
      <c r="AG7" s="2">
        <v>2500</v>
      </c>
      <c r="AH7" s="1">
        <v>408</v>
      </c>
      <c r="AI7" s="2">
        <v>10904</v>
      </c>
      <c r="AJ7" s="2">
        <v>15323</v>
      </c>
      <c r="AK7" s="2">
        <v>243824</v>
      </c>
    </row>
    <row r="8" spans="1:37" x14ac:dyDescent="0.25">
      <c r="A8" s="3">
        <v>8</v>
      </c>
      <c r="B8" s="3">
        <v>12</v>
      </c>
      <c r="C8" s="4">
        <v>2500</v>
      </c>
      <c r="D8" s="4">
        <v>2500</v>
      </c>
      <c r="E8" s="3">
        <v>548</v>
      </c>
      <c r="F8" s="4">
        <v>3284</v>
      </c>
      <c r="G8" s="4">
        <v>16327</v>
      </c>
      <c r="H8" s="4">
        <v>239576</v>
      </c>
      <c r="K8" s="3">
        <v>8</v>
      </c>
      <c r="L8" s="3">
        <v>51</v>
      </c>
      <c r="M8" s="4">
        <v>6878</v>
      </c>
      <c r="N8" s="4">
        <v>6878</v>
      </c>
      <c r="O8" s="4">
        <v>1933</v>
      </c>
      <c r="P8" s="4">
        <v>9138</v>
      </c>
      <c r="Q8" s="4">
        <v>52581</v>
      </c>
      <c r="R8" s="4">
        <v>116602</v>
      </c>
      <c r="U8" s="3">
        <v>8</v>
      </c>
      <c r="V8" s="3">
        <v>12</v>
      </c>
      <c r="W8" s="4">
        <v>3280</v>
      </c>
      <c r="X8" s="4">
        <v>3280</v>
      </c>
      <c r="Y8" s="3">
        <v>847</v>
      </c>
      <c r="Z8" s="4">
        <v>3603</v>
      </c>
      <c r="AA8" s="4">
        <v>25314</v>
      </c>
      <c r="AB8" s="4">
        <v>113163</v>
      </c>
      <c r="AD8" s="3">
        <v>8</v>
      </c>
      <c r="AE8" s="3">
        <v>12</v>
      </c>
      <c r="AF8" s="4">
        <v>2500</v>
      </c>
      <c r="AG8" s="4">
        <v>2500</v>
      </c>
      <c r="AH8" s="3">
        <v>467</v>
      </c>
      <c r="AI8" s="4">
        <v>12850</v>
      </c>
      <c r="AJ8" s="4">
        <v>18200</v>
      </c>
      <c r="AK8" s="4">
        <v>254575</v>
      </c>
    </row>
    <row r="9" spans="1:37" x14ac:dyDescent="0.25">
      <c r="A9" s="1">
        <v>9</v>
      </c>
      <c r="B9" s="1">
        <v>13</v>
      </c>
      <c r="C9" s="2">
        <v>2500</v>
      </c>
      <c r="D9" s="2">
        <v>2500</v>
      </c>
      <c r="E9" s="1">
        <v>629</v>
      </c>
      <c r="F9" s="2">
        <v>4010</v>
      </c>
      <c r="G9" s="2">
        <v>19423</v>
      </c>
      <c r="H9" s="2">
        <v>243621</v>
      </c>
      <c r="K9" s="1">
        <v>9</v>
      </c>
      <c r="L9" s="1">
        <v>52</v>
      </c>
      <c r="M9" s="2">
        <v>6878</v>
      </c>
      <c r="N9" s="2">
        <v>6878</v>
      </c>
      <c r="O9" s="2">
        <v>2167</v>
      </c>
      <c r="P9" s="2">
        <v>11465</v>
      </c>
      <c r="Q9" s="2">
        <v>61601</v>
      </c>
      <c r="R9" s="2">
        <v>120473</v>
      </c>
      <c r="U9" s="1">
        <v>9</v>
      </c>
      <c r="V9" s="1">
        <v>13</v>
      </c>
      <c r="W9" s="2">
        <v>3280</v>
      </c>
      <c r="X9" s="2">
        <v>3280</v>
      </c>
      <c r="Y9" s="1">
        <v>995</v>
      </c>
      <c r="Z9" s="2">
        <v>4669</v>
      </c>
      <c r="AA9" s="2">
        <v>29721</v>
      </c>
      <c r="AB9" s="2">
        <v>116727</v>
      </c>
      <c r="AD9" s="1">
        <v>9</v>
      </c>
      <c r="AE9" s="1">
        <v>13</v>
      </c>
      <c r="AF9" s="2">
        <v>2500</v>
      </c>
      <c r="AG9" s="2">
        <v>2500</v>
      </c>
      <c r="AH9" s="1">
        <v>521</v>
      </c>
      <c r="AI9" s="2">
        <v>14907</v>
      </c>
      <c r="AJ9" s="2">
        <v>21210</v>
      </c>
      <c r="AK9" s="2">
        <v>265365</v>
      </c>
    </row>
    <row r="10" spans="1:37" x14ac:dyDescent="0.25">
      <c r="A10" s="3">
        <v>10</v>
      </c>
      <c r="B10" s="3">
        <v>14</v>
      </c>
      <c r="C10" s="4">
        <v>2500</v>
      </c>
      <c r="D10" s="4">
        <v>2500</v>
      </c>
      <c r="E10" s="3">
        <v>718</v>
      </c>
      <c r="F10" s="4">
        <v>4844</v>
      </c>
      <c r="G10" s="4">
        <v>22691</v>
      </c>
      <c r="H10" s="4">
        <v>248101</v>
      </c>
      <c r="K10" s="3">
        <v>10</v>
      </c>
      <c r="L10" s="3">
        <v>53</v>
      </c>
      <c r="M10" s="4">
        <v>6878</v>
      </c>
      <c r="N10" s="4">
        <v>6878</v>
      </c>
      <c r="O10" s="4">
        <v>2416</v>
      </c>
      <c r="P10" s="4">
        <v>14080</v>
      </c>
      <c r="Q10" s="4">
        <v>71055</v>
      </c>
      <c r="R10" s="4">
        <v>124713</v>
      </c>
      <c r="U10" s="3">
        <v>10</v>
      </c>
      <c r="V10" s="3">
        <v>14</v>
      </c>
      <c r="W10" s="4">
        <v>3280</v>
      </c>
      <c r="X10" s="4">
        <v>3280</v>
      </c>
      <c r="Y10" s="4">
        <v>1152</v>
      </c>
      <c r="Z10" s="4">
        <v>5912</v>
      </c>
      <c r="AA10" s="4">
        <v>34370</v>
      </c>
      <c r="AB10" s="4">
        <v>120776</v>
      </c>
      <c r="AD10" s="3">
        <v>10</v>
      </c>
      <c r="AE10" s="3">
        <v>14</v>
      </c>
      <c r="AF10" s="4">
        <v>2500</v>
      </c>
      <c r="AG10" s="4">
        <v>2500</v>
      </c>
      <c r="AH10" s="3">
        <v>586</v>
      </c>
      <c r="AI10" s="4">
        <v>17085</v>
      </c>
      <c r="AJ10" s="4">
        <v>24366</v>
      </c>
      <c r="AK10" s="4">
        <v>276256</v>
      </c>
    </row>
    <row r="11" spans="1:37" x14ac:dyDescent="0.25">
      <c r="A11" s="1">
        <v>11</v>
      </c>
      <c r="B11" s="1">
        <v>15</v>
      </c>
      <c r="C11" s="2">
        <v>2500</v>
      </c>
      <c r="D11" s="2">
        <v>2500</v>
      </c>
      <c r="E11" s="1">
        <v>759</v>
      </c>
      <c r="F11" s="2">
        <v>5742</v>
      </c>
      <c r="G11" s="2">
        <v>26079</v>
      </c>
      <c r="H11" s="2">
        <v>252706</v>
      </c>
      <c r="K11" s="1">
        <v>11</v>
      </c>
      <c r="L11" s="1">
        <v>54</v>
      </c>
      <c r="M11" s="1">
        <v>0</v>
      </c>
      <c r="N11" s="1">
        <v>0</v>
      </c>
      <c r="O11" s="2">
        <v>2591</v>
      </c>
      <c r="P11" s="2">
        <v>16915</v>
      </c>
      <c r="Q11" s="2">
        <v>74879</v>
      </c>
      <c r="R11" s="2">
        <v>129183</v>
      </c>
      <c r="U11" s="1">
        <v>11</v>
      </c>
      <c r="V11" s="1">
        <v>15</v>
      </c>
      <c r="W11" s="1">
        <v>0</v>
      </c>
      <c r="X11" s="1">
        <v>0</v>
      </c>
      <c r="Y11" s="2">
        <v>1179</v>
      </c>
      <c r="Z11" s="2">
        <v>7207</v>
      </c>
      <c r="AA11" s="2">
        <v>36217</v>
      </c>
      <c r="AB11" s="2">
        <v>124842</v>
      </c>
      <c r="AD11" s="1">
        <v>11</v>
      </c>
      <c r="AE11" s="1">
        <v>15</v>
      </c>
      <c r="AF11" s="2">
        <v>2500</v>
      </c>
      <c r="AG11" s="2">
        <v>2500</v>
      </c>
      <c r="AH11" s="1">
        <v>673</v>
      </c>
      <c r="AI11" s="2">
        <v>19407</v>
      </c>
      <c r="AJ11" s="2">
        <v>27683</v>
      </c>
      <c r="AK11" s="2">
        <v>287368</v>
      </c>
    </row>
    <row r="12" spans="1:37" x14ac:dyDescent="0.25">
      <c r="A12" s="3">
        <v>12</v>
      </c>
      <c r="B12" s="3">
        <v>16</v>
      </c>
      <c r="C12" s="4">
        <v>2500</v>
      </c>
      <c r="D12" s="4">
        <v>2500</v>
      </c>
      <c r="E12" s="3">
        <v>807</v>
      </c>
      <c r="F12" s="4">
        <v>6711</v>
      </c>
      <c r="G12" s="4">
        <v>29592</v>
      </c>
      <c r="H12" s="4">
        <v>257469</v>
      </c>
      <c r="K12" s="3">
        <v>12</v>
      </c>
      <c r="L12" s="3">
        <v>55</v>
      </c>
      <c r="M12" s="3">
        <v>0</v>
      </c>
      <c r="N12" s="3">
        <v>0</v>
      </c>
      <c r="O12" s="4">
        <v>2731</v>
      </c>
      <c r="P12" s="4">
        <v>19939</v>
      </c>
      <c r="Q12" s="4">
        <v>78905</v>
      </c>
      <c r="R12" s="4">
        <v>133814</v>
      </c>
      <c r="U12" s="3">
        <v>12</v>
      </c>
      <c r="V12" s="3">
        <v>16</v>
      </c>
      <c r="W12" s="3">
        <v>0</v>
      </c>
      <c r="X12" s="3">
        <v>0</v>
      </c>
      <c r="Y12" s="4">
        <v>1247</v>
      </c>
      <c r="Z12" s="4">
        <v>8592</v>
      </c>
      <c r="AA12" s="4">
        <v>38158</v>
      </c>
      <c r="AB12" s="4">
        <v>129060</v>
      </c>
      <c r="AD12" s="3">
        <v>12</v>
      </c>
      <c r="AE12" s="3">
        <v>16</v>
      </c>
      <c r="AF12" s="4">
        <v>2500</v>
      </c>
      <c r="AG12" s="4">
        <v>2500</v>
      </c>
      <c r="AH12" s="3">
        <v>767</v>
      </c>
      <c r="AI12" s="4">
        <v>21877</v>
      </c>
      <c r="AJ12" s="4">
        <v>31156</v>
      </c>
      <c r="AK12" s="4">
        <v>298721</v>
      </c>
    </row>
    <row r="13" spans="1:37" x14ac:dyDescent="0.25">
      <c r="A13" s="1">
        <v>13</v>
      </c>
      <c r="B13" s="1">
        <v>17</v>
      </c>
      <c r="C13" s="2">
        <v>2500</v>
      </c>
      <c r="D13" s="2">
        <v>2500</v>
      </c>
      <c r="E13" s="1">
        <v>859</v>
      </c>
      <c r="F13" s="2">
        <v>7755</v>
      </c>
      <c r="G13" s="2">
        <v>33228</v>
      </c>
      <c r="H13" s="2">
        <v>262403</v>
      </c>
      <c r="K13" s="1">
        <v>13</v>
      </c>
      <c r="L13" s="1">
        <v>56</v>
      </c>
      <c r="M13" s="1">
        <v>0</v>
      </c>
      <c r="N13" s="1">
        <v>0</v>
      </c>
      <c r="O13" s="2">
        <v>2878</v>
      </c>
      <c r="P13" s="2">
        <v>23159</v>
      </c>
      <c r="Q13" s="2">
        <v>83138</v>
      </c>
      <c r="R13" s="2">
        <v>138612</v>
      </c>
      <c r="U13" s="1">
        <v>13</v>
      </c>
      <c r="V13" s="1">
        <v>17</v>
      </c>
      <c r="W13" s="1">
        <v>0</v>
      </c>
      <c r="X13" s="1">
        <v>0</v>
      </c>
      <c r="Y13" s="2">
        <v>1319</v>
      </c>
      <c r="Z13" s="2">
        <v>10072</v>
      </c>
      <c r="AA13" s="2">
        <v>40193</v>
      </c>
      <c r="AB13" s="2">
        <v>133440</v>
      </c>
      <c r="AD13" s="1">
        <v>13</v>
      </c>
      <c r="AE13" s="1">
        <v>17</v>
      </c>
      <c r="AF13" s="2">
        <v>2500</v>
      </c>
      <c r="AG13" s="2">
        <v>2500</v>
      </c>
      <c r="AH13" s="1">
        <v>868</v>
      </c>
      <c r="AI13" s="2">
        <v>24504</v>
      </c>
      <c r="AJ13" s="2">
        <v>34794</v>
      </c>
      <c r="AK13" s="2">
        <v>310350</v>
      </c>
    </row>
    <row r="14" spans="1:37" x14ac:dyDescent="0.25">
      <c r="A14" s="3">
        <v>14</v>
      </c>
      <c r="B14" s="3">
        <v>18</v>
      </c>
      <c r="C14" s="4">
        <v>2500</v>
      </c>
      <c r="D14" s="4">
        <v>2500</v>
      </c>
      <c r="E14" s="3">
        <v>915</v>
      </c>
      <c r="F14" s="4">
        <v>8877</v>
      </c>
      <c r="G14" s="4">
        <v>36984</v>
      </c>
      <c r="H14" s="4">
        <v>267526</v>
      </c>
      <c r="K14" s="3">
        <v>14</v>
      </c>
      <c r="L14" s="3">
        <v>57</v>
      </c>
      <c r="M14" s="3">
        <v>0</v>
      </c>
      <c r="N14" s="3">
        <v>0</v>
      </c>
      <c r="O14" s="4">
        <v>3034</v>
      </c>
      <c r="P14" s="4">
        <v>26589</v>
      </c>
      <c r="Q14" s="4">
        <v>87592</v>
      </c>
      <c r="R14" s="4">
        <v>143586</v>
      </c>
      <c r="U14" s="3">
        <v>14</v>
      </c>
      <c r="V14" s="3">
        <v>18</v>
      </c>
      <c r="W14" s="3">
        <v>0</v>
      </c>
      <c r="X14" s="3">
        <v>0</v>
      </c>
      <c r="Y14" s="4">
        <v>1396</v>
      </c>
      <c r="Z14" s="4">
        <v>11654</v>
      </c>
      <c r="AA14" s="4">
        <v>42329</v>
      </c>
      <c r="AB14" s="4">
        <v>137992</v>
      </c>
      <c r="AD14" s="3">
        <v>14</v>
      </c>
      <c r="AE14" s="3">
        <v>18</v>
      </c>
      <c r="AF14" s="4">
        <v>2500</v>
      </c>
      <c r="AG14" s="4">
        <v>2500</v>
      </c>
      <c r="AH14" s="3">
        <v>975</v>
      </c>
      <c r="AI14" s="4">
        <v>27288</v>
      </c>
      <c r="AJ14" s="4">
        <v>38590</v>
      </c>
      <c r="AK14" s="4">
        <v>322269</v>
      </c>
    </row>
    <row r="15" spans="1:37" x14ac:dyDescent="0.25">
      <c r="A15" s="1">
        <v>15</v>
      </c>
      <c r="B15" s="1">
        <v>19</v>
      </c>
      <c r="C15" s="2">
        <v>2500</v>
      </c>
      <c r="D15" s="2">
        <v>2500</v>
      </c>
      <c r="E15" s="1">
        <v>984</v>
      </c>
      <c r="F15" s="2">
        <v>10093</v>
      </c>
      <c r="G15" s="2">
        <v>40889</v>
      </c>
      <c r="H15" s="2">
        <v>272894</v>
      </c>
      <c r="K15" s="1">
        <v>15</v>
      </c>
      <c r="L15" s="1">
        <v>58</v>
      </c>
      <c r="M15" s="1">
        <v>0</v>
      </c>
      <c r="N15" s="1">
        <v>0</v>
      </c>
      <c r="O15" s="2">
        <v>3201</v>
      </c>
      <c r="P15" s="2">
        <v>30240</v>
      </c>
      <c r="Q15" s="2">
        <v>92277</v>
      </c>
      <c r="R15" s="2">
        <v>148746</v>
      </c>
      <c r="U15" s="1">
        <v>15</v>
      </c>
      <c r="V15" s="1">
        <v>19</v>
      </c>
      <c r="W15" s="1">
        <v>0</v>
      </c>
      <c r="X15" s="1">
        <v>0</v>
      </c>
      <c r="Y15" s="2">
        <v>1468</v>
      </c>
      <c r="Z15" s="2">
        <v>13333</v>
      </c>
      <c r="AA15" s="2">
        <v>44564</v>
      </c>
      <c r="AB15" s="2">
        <v>142692</v>
      </c>
      <c r="AD15" s="1">
        <v>15</v>
      </c>
      <c r="AE15" s="1">
        <v>19</v>
      </c>
      <c r="AF15" s="2">
        <v>2500</v>
      </c>
      <c r="AG15" s="2">
        <v>2500</v>
      </c>
      <c r="AH15" s="2">
        <v>1089</v>
      </c>
      <c r="AI15" s="2">
        <v>30244</v>
      </c>
      <c r="AJ15" s="2">
        <v>42565</v>
      </c>
      <c r="AK15" s="2">
        <v>334500</v>
      </c>
    </row>
    <row r="16" spans="1:37" x14ac:dyDescent="0.25">
      <c r="A16" s="3">
        <v>16</v>
      </c>
      <c r="B16" s="3">
        <v>20</v>
      </c>
      <c r="C16" s="4">
        <v>2500</v>
      </c>
      <c r="D16" s="4">
        <v>2500</v>
      </c>
      <c r="E16" s="4">
        <v>1169</v>
      </c>
      <c r="F16" s="4">
        <v>11526</v>
      </c>
      <c r="G16" s="4">
        <v>45086</v>
      </c>
      <c r="H16" s="4">
        <v>279105</v>
      </c>
      <c r="K16" s="3">
        <v>16</v>
      </c>
      <c r="L16" s="3">
        <v>59</v>
      </c>
      <c r="M16" s="3">
        <v>0</v>
      </c>
      <c r="N16" s="3">
        <v>0</v>
      </c>
      <c r="O16" s="4">
        <v>3374</v>
      </c>
      <c r="P16" s="4">
        <v>34123</v>
      </c>
      <c r="Q16" s="4">
        <v>97203</v>
      </c>
      <c r="R16" s="4">
        <v>154095</v>
      </c>
      <c r="U16" s="3">
        <v>16</v>
      </c>
      <c r="V16" s="3">
        <v>20</v>
      </c>
      <c r="W16" s="3">
        <v>0</v>
      </c>
      <c r="X16" s="3">
        <v>0</v>
      </c>
      <c r="Y16" s="4">
        <v>1549</v>
      </c>
      <c r="Z16" s="4">
        <v>15124</v>
      </c>
      <c r="AA16" s="4">
        <v>46920</v>
      </c>
      <c r="AB16" s="4">
        <v>147565</v>
      </c>
      <c r="AD16" s="3">
        <v>16</v>
      </c>
      <c r="AE16" s="3">
        <v>20</v>
      </c>
      <c r="AF16" s="4">
        <v>2500</v>
      </c>
      <c r="AG16" s="4">
        <v>2500</v>
      </c>
      <c r="AH16" s="4">
        <v>1221</v>
      </c>
      <c r="AI16" s="4">
        <v>33409</v>
      </c>
      <c r="AJ16" s="4">
        <v>46777</v>
      </c>
      <c r="AK16" s="4">
        <v>347123</v>
      </c>
    </row>
    <row r="17" spans="1:37" x14ac:dyDescent="0.25">
      <c r="A17" s="1">
        <v>17</v>
      </c>
      <c r="B17" s="1">
        <v>21</v>
      </c>
      <c r="C17" s="2">
        <v>2500</v>
      </c>
      <c r="D17" s="2">
        <v>2500</v>
      </c>
      <c r="E17" s="2">
        <v>1345</v>
      </c>
      <c r="F17" s="2">
        <v>13171</v>
      </c>
      <c r="G17" s="2">
        <v>49577</v>
      </c>
      <c r="H17" s="2">
        <v>286071</v>
      </c>
      <c r="K17" s="1">
        <v>17</v>
      </c>
      <c r="L17" s="1">
        <v>60</v>
      </c>
      <c r="M17" s="1">
        <v>0</v>
      </c>
      <c r="N17" s="1">
        <v>0</v>
      </c>
      <c r="O17" s="2">
        <v>3556</v>
      </c>
      <c r="P17" s="2">
        <v>38247</v>
      </c>
      <c r="Q17" s="2">
        <v>102377</v>
      </c>
      <c r="R17" s="2">
        <v>159640</v>
      </c>
      <c r="U17" s="1">
        <v>17</v>
      </c>
      <c r="V17" s="1">
        <v>21</v>
      </c>
      <c r="W17" s="1">
        <v>0</v>
      </c>
      <c r="X17" s="1">
        <v>0</v>
      </c>
      <c r="Y17" s="2">
        <v>1634</v>
      </c>
      <c r="Z17" s="2">
        <v>17031</v>
      </c>
      <c r="AA17" s="2">
        <v>49401</v>
      </c>
      <c r="AB17" s="2">
        <v>152612</v>
      </c>
      <c r="AD17" s="1">
        <v>17</v>
      </c>
      <c r="AE17" s="1">
        <v>21</v>
      </c>
      <c r="AF17" s="2">
        <v>2500</v>
      </c>
      <c r="AG17" s="2">
        <v>2500</v>
      </c>
      <c r="AH17" s="2">
        <v>1314</v>
      </c>
      <c r="AI17" s="2">
        <v>36749</v>
      </c>
      <c r="AJ17" s="2">
        <v>51190</v>
      </c>
      <c r="AK17" s="2">
        <v>359908</v>
      </c>
    </row>
    <row r="18" spans="1:37" x14ac:dyDescent="0.25">
      <c r="A18" s="3">
        <v>18</v>
      </c>
      <c r="B18" s="3">
        <v>22</v>
      </c>
      <c r="C18" s="4">
        <v>2500</v>
      </c>
      <c r="D18" s="4">
        <v>2500</v>
      </c>
      <c r="E18" s="4">
        <v>1527</v>
      </c>
      <c r="F18" s="4">
        <v>15041</v>
      </c>
      <c r="G18" s="4">
        <v>54371</v>
      </c>
      <c r="H18" s="4">
        <v>293778</v>
      </c>
      <c r="K18" s="3">
        <v>18</v>
      </c>
      <c r="L18" s="3">
        <v>61</v>
      </c>
      <c r="M18" s="3">
        <v>0</v>
      </c>
      <c r="N18" s="3">
        <v>0</v>
      </c>
      <c r="O18" s="4">
        <v>3751</v>
      </c>
      <c r="P18" s="4">
        <v>42628</v>
      </c>
      <c r="Q18" s="4">
        <v>107814</v>
      </c>
      <c r="R18" s="4">
        <v>165394</v>
      </c>
      <c r="U18" s="3">
        <v>18</v>
      </c>
      <c r="V18" s="3">
        <v>22</v>
      </c>
      <c r="W18" s="3">
        <v>0</v>
      </c>
      <c r="X18" s="3">
        <v>0</v>
      </c>
      <c r="Y18" s="4">
        <v>1722</v>
      </c>
      <c r="Z18" s="4">
        <v>19059</v>
      </c>
      <c r="AA18" s="4">
        <v>52013</v>
      </c>
      <c r="AB18" s="4">
        <v>157836</v>
      </c>
      <c r="AD18" s="3">
        <v>18</v>
      </c>
      <c r="AE18" s="3">
        <v>22</v>
      </c>
      <c r="AF18" s="4">
        <v>2500</v>
      </c>
      <c r="AG18" s="4">
        <v>2500</v>
      </c>
      <c r="AH18" s="4">
        <v>1413</v>
      </c>
      <c r="AI18" s="4">
        <v>40274</v>
      </c>
      <c r="AJ18" s="4">
        <v>55816</v>
      </c>
      <c r="AK18" s="4">
        <v>372868</v>
      </c>
    </row>
    <row r="19" spans="1:37" x14ac:dyDescent="0.25">
      <c r="A19" s="1">
        <v>19</v>
      </c>
      <c r="B19" s="1">
        <v>23</v>
      </c>
      <c r="C19" s="2">
        <v>2500</v>
      </c>
      <c r="D19" s="2">
        <v>2500</v>
      </c>
      <c r="E19" s="2">
        <v>1719</v>
      </c>
      <c r="F19" s="2">
        <v>17153</v>
      </c>
      <c r="G19" s="2">
        <v>59493</v>
      </c>
      <c r="H19" s="2">
        <v>302237</v>
      </c>
      <c r="K19" s="1">
        <v>19</v>
      </c>
      <c r="L19" s="1">
        <v>62</v>
      </c>
      <c r="M19" s="1">
        <v>0</v>
      </c>
      <c r="N19" s="1">
        <v>0</v>
      </c>
      <c r="O19" s="2">
        <v>3960</v>
      </c>
      <c r="P19" s="2">
        <v>47281</v>
      </c>
      <c r="Q19" s="2">
        <v>113526</v>
      </c>
      <c r="R19" s="2">
        <v>171372</v>
      </c>
      <c r="U19" s="1">
        <v>19</v>
      </c>
      <c r="V19" s="1">
        <v>23</v>
      </c>
      <c r="W19" s="1">
        <v>0</v>
      </c>
      <c r="X19" s="1">
        <v>0</v>
      </c>
      <c r="Y19" s="2">
        <v>1817</v>
      </c>
      <c r="Z19" s="2">
        <v>21221</v>
      </c>
      <c r="AA19" s="2">
        <v>54770</v>
      </c>
      <c r="AB19" s="2">
        <v>163252</v>
      </c>
      <c r="AD19" s="1">
        <v>19</v>
      </c>
      <c r="AE19" s="1">
        <v>23</v>
      </c>
      <c r="AF19" s="2">
        <v>2500</v>
      </c>
      <c r="AG19" s="2">
        <v>2500</v>
      </c>
      <c r="AH19" s="2">
        <v>1520</v>
      </c>
      <c r="AI19" s="2">
        <v>43997</v>
      </c>
      <c r="AJ19" s="2">
        <v>60670</v>
      </c>
      <c r="AK19" s="2">
        <v>386024</v>
      </c>
    </row>
    <row r="20" spans="1:37" x14ac:dyDescent="0.25">
      <c r="A20" s="3">
        <v>20</v>
      </c>
      <c r="B20" s="3">
        <v>24</v>
      </c>
      <c r="C20" s="4">
        <v>2500</v>
      </c>
      <c r="D20" s="4">
        <v>2500</v>
      </c>
      <c r="E20" s="4">
        <v>1914</v>
      </c>
      <c r="F20" s="4">
        <v>19514</v>
      </c>
      <c r="G20" s="4">
        <v>64952</v>
      </c>
      <c r="H20" s="4">
        <v>311415</v>
      </c>
      <c r="K20" s="3">
        <v>20</v>
      </c>
      <c r="L20" s="3">
        <v>63</v>
      </c>
      <c r="M20" s="3">
        <v>0</v>
      </c>
      <c r="N20" s="3">
        <v>0</v>
      </c>
      <c r="O20" s="4">
        <v>4189</v>
      </c>
      <c r="P20" s="4">
        <v>52228</v>
      </c>
      <c r="Q20" s="4">
        <v>119536</v>
      </c>
      <c r="R20" s="4">
        <v>177595</v>
      </c>
      <c r="U20" s="3">
        <v>20</v>
      </c>
      <c r="V20" s="3">
        <v>24</v>
      </c>
      <c r="W20" s="3">
        <v>0</v>
      </c>
      <c r="X20" s="3">
        <v>0</v>
      </c>
      <c r="Y20" s="4">
        <v>1914</v>
      </c>
      <c r="Z20" s="4">
        <v>23517</v>
      </c>
      <c r="AA20" s="4">
        <v>57671</v>
      </c>
      <c r="AB20" s="4">
        <v>168856</v>
      </c>
      <c r="AD20" s="3">
        <v>20</v>
      </c>
      <c r="AE20" s="3">
        <v>24</v>
      </c>
      <c r="AF20" s="4">
        <v>2500</v>
      </c>
      <c r="AG20" s="4">
        <v>2500</v>
      </c>
      <c r="AH20" s="4">
        <v>1624</v>
      </c>
      <c r="AI20" s="4">
        <v>47923</v>
      </c>
      <c r="AJ20" s="4">
        <v>65757</v>
      </c>
      <c r="AK20" s="4">
        <v>399346</v>
      </c>
    </row>
    <row r="21" spans="1:37" x14ac:dyDescent="0.25">
      <c r="A21" s="1">
        <v>21</v>
      </c>
      <c r="B21" s="1">
        <v>25</v>
      </c>
      <c r="C21" s="1">
        <v>0</v>
      </c>
      <c r="D21" s="1">
        <v>0</v>
      </c>
      <c r="E21" s="2">
        <v>1665</v>
      </c>
      <c r="F21" s="2">
        <v>21688</v>
      </c>
      <c r="G21" s="2">
        <v>68311</v>
      </c>
      <c r="H21" s="2">
        <v>319194</v>
      </c>
      <c r="K21" s="1">
        <v>21</v>
      </c>
      <c r="L21" s="1">
        <v>64</v>
      </c>
      <c r="M21" s="1">
        <v>0</v>
      </c>
      <c r="N21" s="1">
        <v>0</v>
      </c>
      <c r="O21" s="2">
        <v>4428</v>
      </c>
      <c r="P21" s="2">
        <v>57482</v>
      </c>
      <c r="Q21" s="2">
        <v>125854</v>
      </c>
      <c r="R21" s="2">
        <v>184072</v>
      </c>
      <c r="U21" s="1">
        <v>21</v>
      </c>
      <c r="V21" s="1">
        <v>25</v>
      </c>
      <c r="W21" s="1">
        <v>0</v>
      </c>
      <c r="X21" s="1">
        <v>0</v>
      </c>
      <c r="Y21" s="2">
        <v>2015</v>
      </c>
      <c r="Z21" s="2">
        <v>25956</v>
      </c>
      <c r="AA21" s="2">
        <v>60725</v>
      </c>
      <c r="AB21" s="2">
        <v>174652</v>
      </c>
      <c r="AD21" s="1">
        <v>21</v>
      </c>
      <c r="AE21" s="1">
        <v>25</v>
      </c>
      <c r="AF21" s="1">
        <v>0</v>
      </c>
      <c r="AG21" s="1">
        <v>0</v>
      </c>
      <c r="AH21" s="2">
        <v>1547</v>
      </c>
      <c r="AI21" s="2">
        <v>1547</v>
      </c>
      <c r="AJ21" s="2">
        <v>69020</v>
      </c>
      <c r="AK21" s="2">
        <v>322508</v>
      </c>
    </row>
    <row r="22" spans="1:37" x14ac:dyDescent="0.25">
      <c r="A22" s="3">
        <v>22</v>
      </c>
      <c r="B22" s="3">
        <v>26</v>
      </c>
      <c r="C22" s="3">
        <v>0</v>
      </c>
      <c r="D22" s="3">
        <v>0</v>
      </c>
      <c r="E22" s="4">
        <v>1750</v>
      </c>
      <c r="F22" s="4">
        <v>24004</v>
      </c>
      <c r="G22" s="4">
        <v>71845</v>
      </c>
      <c r="H22" s="4">
        <v>327161</v>
      </c>
      <c r="K22" s="3">
        <v>22</v>
      </c>
      <c r="L22" s="3">
        <v>65</v>
      </c>
      <c r="M22" s="3">
        <v>0</v>
      </c>
      <c r="N22" s="3">
        <v>0</v>
      </c>
      <c r="O22" s="4">
        <v>4678</v>
      </c>
      <c r="P22" s="4">
        <v>63054</v>
      </c>
      <c r="Q22" s="4">
        <v>132489</v>
      </c>
      <c r="R22" s="4">
        <v>190810</v>
      </c>
      <c r="U22" s="3">
        <v>22</v>
      </c>
      <c r="V22" s="3">
        <v>26</v>
      </c>
      <c r="W22" s="3">
        <v>0</v>
      </c>
      <c r="X22" s="3">
        <v>0</v>
      </c>
      <c r="Y22" s="4">
        <v>2124</v>
      </c>
      <c r="Z22" s="4">
        <v>28547</v>
      </c>
      <c r="AA22" s="4">
        <v>63943</v>
      </c>
      <c r="AB22" s="4">
        <v>180652</v>
      </c>
      <c r="AD22" s="3">
        <v>22</v>
      </c>
      <c r="AE22" s="3">
        <v>26</v>
      </c>
      <c r="AF22" s="3">
        <v>0</v>
      </c>
      <c r="AG22" s="3">
        <v>0</v>
      </c>
      <c r="AH22" s="4">
        <v>1624</v>
      </c>
      <c r="AI22" s="4">
        <v>3212</v>
      </c>
      <c r="AJ22" s="4">
        <v>72447</v>
      </c>
      <c r="AK22" s="4">
        <v>329905</v>
      </c>
    </row>
    <row r="23" spans="1:37" x14ac:dyDescent="0.25">
      <c r="A23" s="1">
        <v>23</v>
      </c>
      <c r="B23" s="1">
        <v>27</v>
      </c>
      <c r="C23" s="1">
        <v>0</v>
      </c>
      <c r="D23" s="1">
        <v>0</v>
      </c>
      <c r="E23" s="2">
        <v>1840</v>
      </c>
      <c r="F23" s="2">
        <v>26473</v>
      </c>
      <c r="G23" s="2">
        <v>75569</v>
      </c>
      <c r="H23" s="2">
        <v>335324</v>
      </c>
      <c r="K23" s="1">
        <v>23</v>
      </c>
      <c r="L23" s="1">
        <v>66</v>
      </c>
      <c r="M23" s="1">
        <v>0</v>
      </c>
      <c r="N23" s="1">
        <v>0</v>
      </c>
      <c r="O23" s="2">
        <v>4935</v>
      </c>
      <c r="P23" s="2">
        <v>68956</v>
      </c>
      <c r="Q23" s="2">
        <v>139456</v>
      </c>
      <c r="R23" s="2">
        <v>197810</v>
      </c>
      <c r="U23" s="1">
        <v>23</v>
      </c>
      <c r="V23" s="1">
        <v>27</v>
      </c>
      <c r="W23" s="1">
        <v>0</v>
      </c>
      <c r="X23" s="1">
        <v>0</v>
      </c>
      <c r="Y23" s="2">
        <v>2234</v>
      </c>
      <c r="Z23" s="2">
        <v>31297</v>
      </c>
      <c r="AA23" s="2">
        <v>67332</v>
      </c>
      <c r="AB23" s="2">
        <v>186851</v>
      </c>
      <c r="AD23" s="1">
        <v>23</v>
      </c>
      <c r="AE23" s="1">
        <v>27</v>
      </c>
      <c r="AF23" s="1">
        <v>0</v>
      </c>
      <c r="AG23" s="1">
        <v>0</v>
      </c>
      <c r="AH23" s="2">
        <v>1704</v>
      </c>
      <c r="AI23" s="2">
        <v>5001</v>
      </c>
      <c r="AJ23" s="2">
        <v>76052</v>
      </c>
      <c r="AK23" s="2">
        <v>337467</v>
      </c>
    </row>
    <row r="24" spans="1:37" x14ac:dyDescent="0.25">
      <c r="A24" s="3">
        <v>24</v>
      </c>
      <c r="B24" s="3">
        <v>28</v>
      </c>
      <c r="C24" s="3">
        <v>0</v>
      </c>
      <c r="D24" s="3">
        <v>0</v>
      </c>
      <c r="E24" s="4">
        <v>1926</v>
      </c>
      <c r="F24" s="4">
        <v>29098</v>
      </c>
      <c r="G24" s="4">
        <v>79490</v>
      </c>
      <c r="H24" s="4">
        <v>343650</v>
      </c>
      <c r="K24" s="3">
        <v>24</v>
      </c>
      <c r="L24" s="3">
        <v>67</v>
      </c>
      <c r="M24" s="3">
        <v>0</v>
      </c>
      <c r="N24" s="3">
        <v>0</v>
      </c>
      <c r="O24" s="4">
        <v>5202</v>
      </c>
      <c r="P24" s="4">
        <v>75198</v>
      </c>
      <c r="Q24" s="4">
        <v>146762</v>
      </c>
      <c r="R24" s="4">
        <v>205078</v>
      </c>
      <c r="U24" s="3">
        <v>24</v>
      </c>
      <c r="V24" s="3">
        <v>28</v>
      </c>
      <c r="W24" s="3">
        <v>0</v>
      </c>
      <c r="X24" s="3">
        <v>0</v>
      </c>
      <c r="Y24" s="4">
        <v>2348</v>
      </c>
      <c r="Z24" s="4">
        <v>34214</v>
      </c>
      <c r="AA24" s="4">
        <v>70904</v>
      </c>
      <c r="AB24" s="4">
        <v>193251</v>
      </c>
      <c r="AD24" s="3">
        <v>24</v>
      </c>
      <c r="AE24" s="3">
        <v>28</v>
      </c>
      <c r="AF24" s="3">
        <v>0</v>
      </c>
      <c r="AG24" s="3">
        <v>0</v>
      </c>
      <c r="AH24" s="4">
        <v>1783</v>
      </c>
      <c r="AI24" s="4">
        <v>6916</v>
      </c>
      <c r="AJ24" s="4">
        <v>79843</v>
      </c>
      <c r="AK24" s="4">
        <v>345177</v>
      </c>
    </row>
    <row r="25" spans="1:37" x14ac:dyDescent="0.25">
      <c r="A25" s="1">
        <v>25</v>
      </c>
      <c r="B25" s="1">
        <v>29</v>
      </c>
      <c r="C25" s="1">
        <v>0</v>
      </c>
      <c r="D25" s="1">
        <v>0</v>
      </c>
      <c r="E25" s="2">
        <v>2022</v>
      </c>
      <c r="F25" s="2">
        <v>31895</v>
      </c>
      <c r="G25" s="2">
        <v>83629</v>
      </c>
      <c r="H25" s="2">
        <v>352165</v>
      </c>
      <c r="K25" s="1">
        <v>25</v>
      </c>
      <c r="L25" s="1">
        <v>68</v>
      </c>
      <c r="M25" s="1">
        <v>0</v>
      </c>
      <c r="N25" s="1">
        <v>0</v>
      </c>
      <c r="O25" s="2">
        <v>5477</v>
      </c>
      <c r="P25" s="2">
        <v>81795</v>
      </c>
      <c r="Q25" s="2">
        <v>154425</v>
      </c>
      <c r="R25" s="2">
        <v>212619</v>
      </c>
      <c r="U25" s="1">
        <v>25</v>
      </c>
      <c r="V25" s="1">
        <v>29</v>
      </c>
      <c r="W25" s="1">
        <v>0</v>
      </c>
      <c r="X25" s="1">
        <v>0</v>
      </c>
      <c r="Y25" s="2">
        <v>2469</v>
      </c>
      <c r="Z25" s="2">
        <v>37306</v>
      </c>
      <c r="AA25" s="2">
        <v>74665</v>
      </c>
      <c r="AB25" s="2">
        <v>199859</v>
      </c>
      <c r="AD25" s="1">
        <v>25</v>
      </c>
      <c r="AE25" s="1">
        <v>29</v>
      </c>
      <c r="AF25" s="1">
        <v>0</v>
      </c>
      <c r="AG25" s="1">
        <v>0</v>
      </c>
      <c r="AH25" s="2">
        <v>1868</v>
      </c>
      <c r="AI25" s="2">
        <v>8969</v>
      </c>
      <c r="AJ25" s="2">
        <v>83838</v>
      </c>
      <c r="AK25" s="2">
        <v>353045</v>
      </c>
    </row>
    <row r="26" spans="1:37" x14ac:dyDescent="0.25">
      <c r="A26" s="3">
        <v>26</v>
      </c>
      <c r="B26" s="3">
        <v>30</v>
      </c>
      <c r="C26" s="3">
        <v>0</v>
      </c>
      <c r="D26" s="3">
        <v>0</v>
      </c>
      <c r="E26" s="4">
        <v>2121</v>
      </c>
      <c r="F26" s="4">
        <v>34868</v>
      </c>
      <c r="G26" s="4">
        <v>87985</v>
      </c>
      <c r="H26" s="4">
        <v>360862</v>
      </c>
      <c r="K26" s="3">
        <v>26</v>
      </c>
      <c r="L26" s="3">
        <v>69</v>
      </c>
      <c r="M26" s="3">
        <v>0</v>
      </c>
      <c r="N26" s="3">
        <v>0</v>
      </c>
      <c r="O26" s="4">
        <v>5765</v>
      </c>
      <c r="P26" s="4">
        <v>88762</v>
      </c>
      <c r="Q26" s="4">
        <v>162459</v>
      </c>
      <c r="R26" s="4">
        <v>220442</v>
      </c>
      <c r="U26" s="3">
        <v>26</v>
      </c>
      <c r="V26" s="3">
        <v>30</v>
      </c>
      <c r="W26" s="3">
        <v>0</v>
      </c>
      <c r="X26" s="3">
        <v>0</v>
      </c>
      <c r="Y26" s="4">
        <v>2597</v>
      </c>
      <c r="Z26" s="4">
        <v>40587</v>
      </c>
      <c r="AA26" s="4">
        <v>78630</v>
      </c>
      <c r="AB26" s="4">
        <v>206686</v>
      </c>
      <c r="AD26" s="3">
        <v>26</v>
      </c>
      <c r="AE26" s="3">
        <v>30</v>
      </c>
      <c r="AF26" s="3">
        <v>0</v>
      </c>
      <c r="AG26" s="3">
        <v>0</v>
      </c>
      <c r="AH26" s="4">
        <v>1963</v>
      </c>
      <c r="AI26" s="4">
        <v>11172</v>
      </c>
      <c r="AJ26" s="4">
        <v>88043</v>
      </c>
      <c r="AK26" s="4">
        <v>361097</v>
      </c>
    </row>
    <row r="27" spans="1:37" x14ac:dyDescent="0.25">
      <c r="A27" s="1">
        <v>27</v>
      </c>
      <c r="B27" s="1">
        <v>31</v>
      </c>
      <c r="C27" s="1">
        <v>0</v>
      </c>
      <c r="D27" s="1">
        <v>0</v>
      </c>
      <c r="E27" s="2">
        <v>2229</v>
      </c>
      <c r="F27" s="2">
        <v>38034</v>
      </c>
      <c r="G27" s="2">
        <v>92578</v>
      </c>
      <c r="H27" s="2">
        <v>369766</v>
      </c>
      <c r="K27" s="1">
        <v>27</v>
      </c>
      <c r="L27" s="1">
        <v>70</v>
      </c>
      <c r="M27" s="1">
        <v>0</v>
      </c>
      <c r="N27" s="1">
        <v>0</v>
      </c>
      <c r="O27" s="2">
        <v>6077</v>
      </c>
      <c r="P27" s="2">
        <v>96124</v>
      </c>
      <c r="Q27" s="2">
        <v>170888</v>
      </c>
      <c r="R27" s="2">
        <v>228570</v>
      </c>
      <c r="U27" s="1">
        <v>27</v>
      </c>
      <c r="V27" s="1">
        <v>31</v>
      </c>
      <c r="W27" s="1">
        <v>0</v>
      </c>
      <c r="X27" s="1">
        <v>0</v>
      </c>
      <c r="Y27" s="2">
        <v>2731</v>
      </c>
      <c r="Z27" s="2">
        <v>44064</v>
      </c>
      <c r="AA27" s="2">
        <v>82806</v>
      </c>
      <c r="AB27" s="2">
        <v>213736</v>
      </c>
      <c r="AD27" s="1">
        <v>27</v>
      </c>
      <c r="AE27" s="1">
        <v>31</v>
      </c>
      <c r="AF27" s="1">
        <v>0</v>
      </c>
      <c r="AG27" s="1">
        <v>0</v>
      </c>
      <c r="AH27" s="2">
        <v>2058</v>
      </c>
      <c r="AI27" s="2">
        <v>13530</v>
      </c>
      <c r="AJ27" s="2">
        <v>92466</v>
      </c>
      <c r="AK27" s="2">
        <v>369319</v>
      </c>
    </row>
    <row r="28" spans="1:37" x14ac:dyDescent="0.25">
      <c r="A28" s="3">
        <v>28</v>
      </c>
      <c r="B28" s="3">
        <v>32</v>
      </c>
      <c r="C28" s="3">
        <v>0</v>
      </c>
      <c r="D28" s="3">
        <v>0</v>
      </c>
      <c r="E28" s="4">
        <v>2343</v>
      </c>
      <c r="F28" s="4">
        <v>41398</v>
      </c>
      <c r="G28" s="4">
        <v>97406</v>
      </c>
      <c r="H28" s="4">
        <v>378879</v>
      </c>
      <c r="K28" s="3">
        <v>28</v>
      </c>
      <c r="L28" s="3">
        <v>71</v>
      </c>
      <c r="M28" s="3">
        <v>0</v>
      </c>
      <c r="N28" s="3">
        <v>0</v>
      </c>
      <c r="O28" s="4">
        <v>6405</v>
      </c>
      <c r="P28" s="4">
        <v>103896</v>
      </c>
      <c r="Q28" s="4">
        <v>179723</v>
      </c>
      <c r="R28" s="4">
        <v>237017</v>
      </c>
      <c r="U28" s="3">
        <v>28</v>
      </c>
      <c r="V28" s="3">
        <v>32</v>
      </c>
      <c r="W28" s="3">
        <v>0</v>
      </c>
      <c r="X28" s="3">
        <v>0</v>
      </c>
      <c r="Y28" s="4">
        <v>2877</v>
      </c>
      <c r="Z28" s="4">
        <v>47749</v>
      </c>
      <c r="AA28" s="4">
        <v>87202</v>
      </c>
      <c r="AB28" s="4">
        <v>221027</v>
      </c>
      <c r="AD28" s="3">
        <v>28</v>
      </c>
      <c r="AE28" s="3">
        <v>32</v>
      </c>
      <c r="AF28" s="3">
        <v>0</v>
      </c>
      <c r="AG28" s="3">
        <v>0</v>
      </c>
      <c r="AH28" s="4">
        <v>2164</v>
      </c>
      <c r="AI28" s="4">
        <v>16057</v>
      </c>
      <c r="AJ28" s="4">
        <v>97112</v>
      </c>
      <c r="AK28" s="4">
        <v>377735</v>
      </c>
    </row>
    <row r="29" spans="1:37" x14ac:dyDescent="0.25">
      <c r="A29" s="1">
        <v>29</v>
      </c>
      <c r="B29" s="1">
        <v>33</v>
      </c>
      <c r="C29" s="1">
        <v>0</v>
      </c>
      <c r="D29" s="1">
        <v>0</v>
      </c>
      <c r="E29" s="2">
        <v>2472</v>
      </c>
      <c r="F29" s="2">
        <v>44978</v>
      </c>
      <c r="G29" s="2">
        <v>102485</v>
      </c>
      <c r="H29" s="2">
        <v>388244</v>
      </c>
      <c r="K29" s="1">
        <v>29</v>
      </c>
      <c r="L29" s="1">
        <v>72</v>
      </c>
      <c r="M29" s="1">
        <v>0</v>
      </c>
      <c r="N29" s="1">
        <v>0</v>
      </c>
      <c r="O29" s="2">
        <v>6755</v>
      </c>
      <c r="P29" s="2">
        <v>112097</v>
      </c>
      <c r="Q29" s="2">
        <v>188980</v>
      </c>
      <c r="R29" s="2">
        <v>245802</v>
      </c>
      <c r="U29" s="1">
        <v>29</v>
      </c>
      <c r="V29" s="1">
        <v>33</v>
      </c>
      <c r="W29" s="1">
        <v>0</v>
      </c>
      <c r="X29" s="1">
        <v>0</v>
      </c>
      <c r="Y29" s="2">
        <v>3031</v>
      </c>
      <c r="Z29" s="2">
        <v>51652</v>
      </c>
      <c r="AA29" s="2">
        <v>91826</v>
      </c>
      <c r="AB29" s="2">
        <v>228571</v>
      </c>
      <c r="AD29" s="1">
        <v>29</v>
      </c>
      <c r="AE29" s="1">
        <v>33</v>
      </c>
      <c r="AF29" s="1">
        <v>0</v>
      </c>
      <c r="AG29" s="1">
        <v>0</v>
      </c>
      <c r="AH29" s="2">
        <v>2278</v>
      </c>
      <c r="AI29" s="2">
        <v>18765</v>
      </c>
      <c r="AJ29" s="2">
        <v>101988</v>
      </c>
      <c r="AK29" s="2">
        <v>386363</v>
      </c>
    </row>
    <row r="30" spans="1:37" x14ac:dyDescent="0.25">
      <c r="A30" s="3">
        <v>30</v>
      </c>
      <c r="B30" s="3">
        <v>34</v>
      </c>
      <c r="C30" s="3">
        <v>0</v>
      </c>
      <c r="D30" s="3">
        <v>0</v>
      </c>
      <c r="E30" s="4">
        <v>2602</v>
      </c>
      <c r="F30" s="4">
        <v>48778</v>
      </c>
      <c r="G30" s="4">
        <v>107816</v>
      </c>
      <c r="H30" s="4">
        <v>397846</v>
      </c>
      <c r="K30" s="3">
        <v>30</v>
      </c>
      <c r="L30" s="3">
        <v>73</v>
      </c>
      <c r="M30" s="3">
        <v>0</v>
      </c>
      <c r="N30" s="3">
        <v>0</v>
      </c>
      <c r="O30" s="4">
        <v>7121</v>
      </c>
      <c r="P30" s="4">
        <v>120743</v>
      </c>
      <c r="Q30" s="4">
        <v>198672</v>
      </c>
      <c r="R30" s="4">
        <v>254940</v>
      </c>
      <c r="U30" s="3">
        <v>30</v>
      </c>
      <c r="V30" s="3">
        <v>34</v>
      </c>
      <c r="W30" s="3">
        <v>0</v>
      </c>
      <c r="X30" s="3">
        <v>0</v>
      </c>
      <c r="Y30" s="4">
        <v>3191</v>
      </c>
      <c r="Z30" s="4">
        <v>55784</v>
      </c>
      <c r="AA30" s="4">
        <v>96690</v>
      </c>
      <c r="AB30" s="4">
        <v>236371</v>
      </c>
      <c r="AD30" s="3">
        <v>30</v>
      </c>
      <c r="AE30" s="3">
        <v>34</v>
      </c>
      <c r="AF30" s="3">
        <v>0</v>
      </c>
      <c r="AG30" s="3">
        <v>0</v>
      </c>
      <c r="AH30" s="4">
        <v>2398</v>
      </c>
      <c r="AI30" s="4">
        <v>21663</v>
      </c>
      <c r="AJ30" s="4">
        <v>107103</v>
      </c>
      <c r="AK30" s="4">
        <v>395214</v>
      </c>
    </row>
    <row r="31" spans="1:37" x14ac:dyDescent="0.25">
      <c r="A31" s="1">
        <v>31</v>
      </c>
      <c r="B31" s="1">
        <v>35</v>
      </c>
      <c r="C31" s="1">
        <v>0</v>
      </c>
      <c r="D31" s="1">
        <v>0</v>
      </c>
      <c r="E31" s="2">
        <v>2743</v>
      </c>
      <c r="F31" s="2">
        <v>52815</v>
      </c>
      <c r="G31" s="2">
        <v>113420</v>
      </c>
      <c r="H31" s="2">
        <v>407707</v>
      </c>
      <c r="K31" s="1">
        <v>31</v>
      </c>
      <c r="L31" s="1">
        <v>74</v>
      </c>
      <c r="M31" s="1">
        <v>0</v>
      </c>
      <c r="N31" s="1">
        <v>0</v>
      </c>
      <c r="O31" s="2">
        <v>7508</v>
      </c>
      <c r="P31" s="2">
        <v>129849</v>
      </c>
      <c r="Q31" s="2">
        <v>208809</v>
      </c>
      <c r="R31" s="2">
        <v>264449</v>
      </c>
      <c r="U31" s="1">
        <v>31</v>
      </c>
      <c r="V31" s="1">
        <v>35</v>
      </c>
      <c r="W31" s="1">
        <v>0</v>
      </c>
      <c r="X31" s="1">
        <v>0</v>
      </c>
      <c r="Y31" s="2">
        <v>3360</v>
      </c>
      <c r="Z31" s="2">
        <v>60157</v>
      </c>
      <c r="AA31" s="2">
        <v>101806</v>
      </c>
      <c r="AB31" s="2">
        <v>244438</v>
      </c>
      <c r="AD31" s="1">
        <v>31</v>
      </c>
      <c r="AE31" s="1">
        <v>35</v>
      </c>
      <c r="AF31" s="1">
        <v>0</v>
      </c>
      <c r="AG31" s="1">
        <v>0</v>
      </c>
      <c r="AH31" s="2">
        <v>2524</v>
      </c>
      <c r="AI31" s="2">
        <v>24762</v>
      </c>
      <c r="AJ31" s="2">
        <v>112469</v>
      </c>
      <c r="AK31" s="2">
        <v>404288</v>
      </c>
    </row>
    <row r="32" spans="1:37" x14ac:dyDescent="0.25">
      <c r="A32" s="3">
        <v>32</v>
      </c>
      <c r="B32" s="3">
        <v>36</v>
      </c>
      <c r="C32" s="3">
        <v>0</v>
      </c>
      <c r="D32" s="3">
        <v>0</v>
      </c>
      <c r="E32" s="4">
        <v>2892</v>
      </c>
      <c r="F32" s="4">
        <v>57103</v>
      </c>
      <c r="G32" s="4">
        <v>119309</v>
      </c>
      <c r="H32" s="4">
        <v>417835</v>
      </c>
      <c r="K32" s="3">
        <v>32</v>
      </c>
      <c r="L32" s="3">
        <v>75</v>
      </c>
      <c r="M32" s="3">
        <v>0</v>
      </c>
      <c r="N32" s="3">
        <v>0</v>
      </c>
      <c r="O32" s="4">
        <v>7913</v>
      </c>
      <c r="P32" s="4">
        <v>139429</v>
      </c>
      <c r="Q32" s="4">
        <v>219403</v>
      </c>
      <c r="R32" s="4">
        <v>274343</v>
      </c>
      <c r="U32" s="3">
        <v>32</v>
      </c>
      <c r="V32" s="3">
        <v>36</v>
      </c>
      <c r="W32" s="3">
        <v>0</v>
      </c>
      <c r="X32" s="3">
        <v>0</v>
      </c>
      <c r="Y32" s="4">
        <v>3538</v>
      </c>
      <c r="Z32" s="4">
        <v>64781</v>
      </c>
      <c r="AA32" s="4">
        <v>107182</v>
      </c>
      <c r="AB32" s="4">
        <v>252783</v>
      </c>
      <c r="AD32" s="3">
        <v>32</v>
      </c>
      <c r="AE32" s="3">
        <v>36</v>
      </c>
      <c r="AF32" s="3">
        <v>0</v>
      </c>
      <c r="AG32" s="3">
        <v>0</v>
      </c>
      <c r="AH32" s="4">
        <v>2658</v>
      </c>
      <c r="AI32" s="4">
        <v>28075</v>
      </c>
      <c r="AJ32" s="4">
        <v>118099</v>
      </c>
      <c r="AK32" s="4">
        <v>413598</v>
      </c>
    </row>
    <row r="33" spans="1:37" x14ac:dyDescent="0.25">
      <c r="A33" s="1">
        <v>33</v>
      </c>
      <c r="B33" s="1">
        <v>37</v>
      </c>
      <c r="C33" s="1">
        <v>0</v>
      </c>
      <c r="D33" s="1">
        <v>0</v>
      </c>
      <c r="E33" s="2">
        <v>3054</v>
      </c>
      <c r="F33" s="2">
        <v>61653</v>
      </c>
      <c r="G33" s="2">
        <v>125488</v>
      </c>
      <c r="H33" s="2">
        <v>428258</v>
      </c>
      <c r="K33" s="1">
        <v>33</v>
      </c>
      <c r="L33" s="1">
        <v>76</v>
      </c>
      <c r="M33" s="1">
        <v>0</v>
      </c>
      <c r="N33" s="1">
        <v>0</v>
      </c>
      <c r="O33" s="2">
        <v>8331</v>
      </c>
      <c r="P33" s="2">
        <v>149500</v>
      </c>
      <c r="Q33" s="2">
        <v>230472</v>
      </c>
      <c r="R33" s="2">
        <v>284632</v>
      </c>
      <c r="U33" s="1">
        <v>33</v>
      </c>
      <c r="V33" s="1">
        <v>37</v>
      </c>
      <c r="W33" s="1">
        <v>0</v>
      </c>
      <c r="X33" s="1">
        <v>0</v>
      </c>
      <c r="Y33" s="2">
        <v>3730</v>
      </c>
      <c r="Z33" s="2">
        <v>69675</v>
      </c>
      <c r="AA33" s="2">
        <v>112838</v>
      </c>
      <c r="AB33" s="2">
        <v>261424</v>
      </c>
      <c r="AD33" s="1">
        <v>33</v>
      </c>
      <c r="AE33" s="1">
        <v>37</v>
      </c>
      <c r="AF33" s="1">
        <v>0</v>
      </c>
      <c r="AG33" s="1">
        <v>0</v>
      </c>
      <c r="AH33" s="2">
        <v>2803</v>
      </c>
      <c r="AI33" s="2">
        <v>31613</v>
      </c>
      <c r="AJ33" s="2">
        <v>123996</v>
      </c>
      <c r="AK33" s="2">
        <v>423166</v>
      </c>
    </row>
    <row r="34" spans="1:37" x14ac:dyDescent="0.25">
      <c r="A34" s="3">
        <v>34</v>
      </c>
      <c r="B34" s="3">
        <v>38</v>
      </c>
      <c r="C34" s="3">
        <v>0</v>
      </c>
      <c r="D34" s="3">
        <v>0</v>
      </c>
      <c r="E34" s="4">
        <v>3221</v>
      </c>
      <c r="F34" s="4">
        <v>66481</v>
      </c>
      <c r="G34" s="4">
        <v>131981</v>
      </c>
      <c r="H34" s="4">
        <v>438970</v>
      </c>
      <c r="K34" s="3">
        <v>34</v>
      </c>
      <c r="L34" s="3">
        <v>77</v>
      </c>
      <c r="M34" s="3">
        <v>0</v>
      </c>
      <c r="N34" s="3">
        <v>0</v>
      </c>
      <c r="O34" s="4">
        <v>8764</v>
      </c>
      <c r="P34" s="4">
        <v>160076</v>
      </c>
      <c r="Q34" s="4">
        <v>242029</v>
      </c>
      <c r="R34" s="4">
        <v>295326</v>
      </c>
      <c r="U34" s="3">
        <v>34</v>
      </c>
      <c r="V34" s="3">
        <v>38</v>
      </c>
      <c r="W34" s="3">
        <v>0</v>
      </c>
      <c r="X34" s="3">
        <v>0</v>
      </c>
      <c r="Y34" s="4">
        <v>3927</v>
      </c>
      <c r="Z34" s="4">
        <v>74845</v>
      </c>
      <c r="AA34" s="4">
        <v>118778</v>
      </c>
      <c r="AB34" s="4">
        <v>270361</v>
      </c>
      <c r="AD34" s="3">
        <v>34</v>
      </c>
      <c r="AE34" s="3">
        <v>38</v>
      </c>
      <c r="AF34" s="3">
        <v>0</v>
      </c>
      <c r="AG34" s="3">
        <v>0</v>
      </c>
      <c r="AH34" s="4">
        <v>2953</v>
      </c>
      <c r="AI34" s="4">
        <v>35391</v>
      </c>
      <c r="AJ34" s="4">
        <v>130182</v>
      </c>
      <c r="AK34" s="4">
        <v>432988</v>
      </c>
    </row>
    <row r="35" spans="1:37" x14ac:dyDescent="0.25">
      <c r="A35" s="1">
        <v>35</v>
      </c>
      <c r="B35" s="1">
        <v>39</v>
      </c>
      <c r="C35" s="1">
        <v>0</v>
      </c>
      <c r="D35" s="1">
        <v>0</v>
      </c>
      <c r="E35" s="2">
        <v>3400</v>
      </c>
      <c r="F35" s="2">
        <v>71599</v>
      </c>
      <c r="G35" s="2">
        <v>138792</v>
      </c>
      <c r="H35" s="2">
        <v>449994</v>
      </c>
      <c r="K35" s="1">
        <v>35</v>
      </c>
      <c r="L35" s="1">
        <v>78</v>
      </c>
      <c r="M35" s="1">
        <v>0</v>
      </c>
      <c r="N35" s="1">
        <v>0</v>
      </c>
      <c r="O35" s="2">
        <v>9212</v>
      </c>
      <c r="P35" s="2">
        <v>171175</v>
      </c>
      <c r="Q35" s="2">
        <v>254094</v>
      </c>
      <c r="R35" s="2">
        <v>306436</v>
      </c>
      <c r="U35" s="1">
        <v>35</v>
      </c>
      <c r="V35" s="1">
        <v>39</v>
      </c>
      <c r="W35" s="1">
        <v>0</v>
      </c>
      <c r="X35" s="1">
        <v>0</v>
      </c>
      <c r="Y35" s="2">
        <v>4143</v>
      </c>
      <c r="Z35" s="2">
        <v>80317</v>
      </c>
      <c r="AA35" s="2">
        <v>125030</v>
      </c>
      <c r="AB35" s="2">
        <v>279627</v>
      </c>
      <c r="AD35" s="1">
        <v>35</v>
      </c>
      <c r="AE35" s="1">
        <v>39</v>
      </c>
      <c r="AF35" s="1">
        <v>0</v>
      </c>
      <c r="AG35" s="1">
        <v>0</v>
      </c>
      <c r="AH35" s="2">
        <v>3117</v>
      </c>
      <c r="AI35" s="2">
        <v>39423</v>
      </c>
      <c r="AJ35" s="2">
        <v>136664</v>
      </c>
      <c r="AK35" s="2">
        <v>443094</v>
      </c>
    </row>
    <row r="36" spans="1:37" x14ac:dyDescent="0.25">
      <c r="A36" s="3">
        <v>36</v>
      </c>
      <c r="B36" s="3">
        <v>40</v>
      </c>
      <c r="C36" s="3">
        <v>0</v>
      </c>
      <c r="D36" s="3">
        <v>0</v>
      </c>
      <c r="E36" s="4">
        <v>3589</v>
      </c>
      <c r="F36" s="4">
        <v>77029</v>
      </c>
      <c r="G36" s="4">
        <v>145949</v>
      </c>
      <c r="H36" s="4">
        <v>461338</v>
      </c>
      <c r="K36" s="3">
        <v>36</v>
      </c>
      <c r="L36" s="3">
        <v>79</v>
      </c>
      <c r="M36" s="3">
        <v>0</v>
      </c>
      <c r="N36" s="3">
        <v>0</v>
      </c>
      <c r="O36" s="4">
        <v>9670</v>
      </c>
      <c r="P36" s="4">
        <v>182811</v>
      </c>
      <c r="Q36" s="4">
        <v>266682</v>
      </c>
      <c r="R36" s="4">
        <v>317966</v>
      </c>
      <c r="U36" s="3">
        <v>36</v>
      </c>
      <c r="V36" s="3">
        <v>40</v>
      </c>
      <c r="W36" s="3">
        <v>0</v>
      </c>
      <c r="X36" s="3">
        <v>0</v>
      </c>
      <c r="Y36" s="4">
        <v>4365</v>
      </c>
      <c r="Z36" s="4">
        <v>86098</v>
      </c>
      <c r="AA36" s="4">
        <v>131600</v>
      </c>
      <c r="AB36" s="4">
        <v>289219</v>
      </c>
      <c r="AD36" s="3">
        <v>36</v>
      </c>
      <c r="AE36" s="3">
        <v>40</v>
      </c>
      <c r="AF36" s="3">
        <v>0</v>
      </c>
      <c r="AG36" s="3">
        <v>0</v>
      </c>
      <c r="AH36" s="4">
        <v>3288</v>
      </c>
      <c r="AI36" s="4">
        <v>43724</v>
      </c>
      <c r="AJ36" s="4">
        <v>143465</v>
      </c>
      <c r="AK36" s="4">
        <v>453487</v>
      </c>
    </row>
    <row r="37" spans="1:37" x14ac:dyDescent="0.25">
      <c r="A37" s="1">
        <v>37</v>
      </c>
      <c r="B37" s="1">
        <v>41</v>
      </c>
      <c r="C37" s="1">
        <v>0</v>
      </c>
      <c r="D37" s="1">
        <v>0</v>
      </c>
      <c r="E37" s="2">
        <v>3781</v>
      </c>
      <c r="F37" s="2">
        <v>82774</v>
      </c>
      <c r="G37" s="2">
        <v>153453</v>
      </c>
      <c r="H37" s="2">
        <v>472992</v>
      </c>
      <c r="K37" s="1">
        <v>37</v>
      </c>
      <c r="L37" s="1">
        <v>80</v>
      </c>
      <c r="M37" s="1">
        <v>0</v>
      </c>
      <c r="N37" s="1">
        <v>0</v>
      </c>
      <c r="O37" s="2">
        <v>10142</v>
      </c>
      <c r="P37" s="2">
        <v>194995</v>
      </c>
      <c r="Q37" s="2">
        <v>279803</v>
      </c>
      <c r="R37" s="2">
        <v>329925</v>
      </c>
      <c r="U37" s="1">
        <v>37</v>
      </c>
      <c r="V37" s="1">
        <v>41</v>
      </c>
      <c r="W37" s="1">
        <v>0</v>
      </c>
      <c r="X37" s="1">
        <v>0</v>
      </c>
      <c r="Y37" s="2">
        <v>4601</v>
      </c>
      <c r="Z37" s="2">
        <v>92208</v>
      </c>
      <c r="AA37" s="2">
        <v>138507</v>
      </c>
      <c r="AB37" s="2">
        <v>299157</v>
      </c>
      <c r="AD37" s="1">
        <v>37</v>
      </c>
      <c r="AE37" s="1">
        <v>41</v>
      </c>
      <c r="AF37" s="1">
        <v>0</v>
      </c>
      <c r="AG37" s="1">
        <v>0</v>
      </c>
      <c r="AH37" s="2">
        <v>3465</v>
      </c>
      <c r="AI37" s="2">
        <v>48304</v>
      </c>
      <c r="AJ37" s="2">
        <v>150590</v>
      </c>
      <c r="AK37" s="2">
        <v>464168</v>
      </c>
    </row>
    <row r="38" spans="1:37" x14ac:dyDescent="0.25">
      <c r="A38" s="3">
        <v>38</v>
      </c>
      <c r="B38" s="3">
        <v>42</v>
      </c>
      <c r="C38" s="3">
        <v>0</v>
      </c>
      <c r="D38" s="3">
        <v>0</v>
      </c>
      <c r="E38" s="4">
        <v>3989</v>
      </c>
      <c r="F38" s="4">
        <v>88861</v>
      </c>
      <c r="G38" s="4">
        <v>161330</v>
      </c>
      <c r="H38" s="4">
        <v>484985</v>
      </c>
      <c r="K38" s="3">
        <v>38</v>
      </c>
      <c r="L38" s="3">
        <v>81</v>
      </c>
      <c r="M38" s="3">
        <v>0</v>
      </c>
      <c r="N38" s="3">
        <v>0</v>
      </c>
      <c r="O38" s="4">
        <v>10632</v>
      </c>
      <c r="P38" s="4">
        <v>207737</v>
      </c>
      <c r="Q38" s="4">
        <v>293463</v>
      </c>
      <c r="R38" s="4">
        <v>342327</v>
      </c>
      <c r="U38" s="3">
        <v>38</v>
      </c>
      <c r="V38" s="3">
        <v>42</v>
      </c>
      <c r="W38" s="3">
        <v>0</v>
      </c>
      <c r="X38" s="3">
        <v>0</v>
      </c>
      <c r="Y38" s="4">
        <v>4847</v>
      </c>
      <c r="Z38" s="4">
        <v>98663</v>
      </c>
      <c r="AA38" s="4">
        <v>145769</v>
      </c>
      <c r="AB38" s="4">
        <v>309448</v>
      </c>
      <c r="AD38" s="3">
        <v>38</v>
      </c>
      <c r="AE38" s="3">
        <v>42</v>
      </c>
      <c r="AF38" s="3">
        <v>0</v>
      </c>
      <c r="AG38" s="3">
        <v>0</v>
      </c>
      <c r="AH38" s="4">
        <v>3656</v>
      </c>
      <c r="AI38" s="4">
        <v>53184</v>
      </c>
      <c r="AJ38" s="4">
        <v>158061</v>
      </c>
      <c r="AK38" s="4">
        <v>475157</v>
      </c>
    </row>
    <row r="39" spans="1:37" x14ac:dyDescent="0.25">
      <c r="A39" s="1">
        <v>39</v>
      </c>
      <c r="B39" s="1">
        <v>43</v>
      </c>
      <c r="C39" s="1">
        <v>0</v>
      </c>
      <c r="D39" s="1">
        <v>0</v>
      </c>
      <c r="E39" s="2">
        <v>4209</v>
      </c>
      <c r="F39" s="2">
        <v>95314</v>
      </c>
      <c r="G39" s="2">
        <v>169613</v>
      </c>
      <c r="H39" s="2">
        <v>497326</v>
      </c>
      <c r="K39" s="1">
        <v>39</v>
      </c>
      <c r="L39" s="1">
        <v>82</v>
      </c>
      <c r="M39" s="1">
        <v>0</v>
      </c>
      <c r="N39" s="1">
        <v>0</v>
      </c>
      <c r="O39" s="2">
        <v>11138</v>
      </c>
      <c r="P39" s="2">
        <v>221052</v>
      </c>
      <c r="Q39" s="2">
        <v>307676</v>
      </c>
      <c r="R39" s="2">
        <v>355186</v>
      </c>
      <c r="U39" s="1">
        <v>39</v>
      </c>
      <c r="V39" s="1">
        <v>43</v>
      </c>
      <c r="W39" s="1">
        <v>0</v>
      </c>
      <c r="X39" s="1">
        <v>0</v>
      </c>
      <c r="Y39" s="2">
        <v>5106</v>
      </c>
      <c r="Z39" s="2">
        <v>105482</v>
      </c>
      <c r="AA39" s="2">
        <v>153406</v>
      </c>
      <c r="AB39" s="2">
        <v>320103</v>
      </c>
      <c r="AD39" s="1">
        <v>39</v>
      </c>
      <c r="AE39" s="1">
        <v>43</v>
      </c>
      <c r="AF39" s="1">
        <v>0</v>
      </c>
      <c r="AG39" s="1">
        <v>0</v>
      </c>
      <c r="AH39" s="2">
        <v>3854</v>
      </c>
      <c r="AI39" s="2">
        <v>58381</v>
      </c>
      <c r="AJ39" s="2">
        <v>165906</v>
      </c>
      <c r="AK39" s="2">
        <v>486457</v>
      </c>
    </row>
    <row r="40" spans="1:37" x14ac:dyDescent="0.25">
      <c r="A40" s="3">
        <v>40</v>
      </c>
      <c r="B40" s="3">
        <v>44</v>
      </c>
      <c r="C40" s="3">
        <v>0</v>
      </c>
      <c r="D40" s="3">
        <v>0</v>
      </c>
      <c r="E40" s="4">
        <v>4425</v>
      </c>
      <c r="F40" s="4">
        <v>102154</v>
      </c>
      <c r="G40" s="4">
        <v>178335</v>
      </c>
      <c r="H40" s="4">
        <v>509980</v>
      </c>
      <c r="K40" s="3">
        <v>40</v>
      </c>
      <c r="L40" s="3">
        <v>83</v>
      </c>
      <c r="M40" s="3">
        <v>0</v>
      </c>
      <c r="N40" s="3">
        <v>0</v>
      </c>
      <c r="O40" s="4">
        <v>11654</v>
      </c>
      <c r="P40" s="4">
        <v>234947</v>
      </c>
      <c r="Q40" s="4">
        <v>322449</v>
      </c>
      <c r="R40" s="4">
        <v>368504</v>
      </c>
      <c r="U40" s="3">
        <v>40</v>
      </c>
      <c r="V40" s="3">
        <v>44</v>
      </c>
      <c r="W40" s="3">
        <v>0</v>
      </c>
      <c r="X40" s="3">
        <v>0</v>
      </c>
      <c r="Y40" s="4">
        <v>5376</v>
      </c>
      <c r="Z40" s="4">
        <v>112692</v>
      </c>
      <c r="AA40" s="4">
        <v>161449</v>
      </c>
      <c r="AB40" s="4">
        <v>331129</v>
      </c>
      <c r="AD40" s="3">
        <v>40</v>
      </c>
      <c r="AE40" s="3">
        <v>44</v>
      </c>
      <c r="AF40" s="3">
        <v>0</v>
      </c>
      <c r="AG40" s="3">
        <v>0</v>
      </c>
      <c r="AH40" s="4">
        <v>4053</v>
      </c>
      <c r="AI40" s="4">
        <v>63913</v>
      </c>
      <c r="AJ40" s="4">
        <v>174162</v>
      </c>
      <c r="AK40" s="4">
        <v>498048</v>
      </c>
    </row>
    <row r="41" spans="1:37" x14ac:dyDescent="0.25">
      <c r="A41" s="1">
        <v>41</v>
      </c>
      <c r="B41" s="1">
        <v>45</v>
      </c>
      <c r="C41" s="1">
        <v>0</v>
      </c>
      <c r="D41" s="1">
        <v>0</v>
      </c>
      <c r="E41" s="2">
        <v>4653</v>
      </c>
      <c r="F41" s="2">
        <v>109398</v>
      </c>
      <c r="G41" s="2">
        <v>187511</v>
      </c>
      <c r="H41" s="2">
        <v>522957</v>
      </c>
      <c r="K41" s="1">
        <v>41</v>
      </c>
      <c r="L41" s="1">
        <v>84</v>
      </c>
      <c r="M41" s="1">
        <v>0</v>
      </c>
      <c r="N41" s="1">
        <v>0</v>
      </c>
      <c r="O41" s="2">
        <v>12216</v>
      </c>
      <c r="P41" s="2">
        <v>249437</v>
      </c>
      <c r="Q41" s="2">
        <v>337786</v>
      </c>
      <c r="R41" s="2">
        <v>382332</v>
      </c>
      <c r="U41" s="1">
        <v>41</v>
      </c>
      <c r="V41" s="1">
        <v>45</v>
      </c>
      <c r="W41" s="1">
        <v>0</v>
      </c>
      <c r="X41" s="1">
        <v>0</v>
      </c>
      <c r="Y41" s="2">
        <v>5656</v>
      </c>
      <c r="Z41" s="2">
        <v>120308</v>
      </c>
      <c r="AA41" s="2">
        <v>169913</v>
      </c>
      <c r="AB41" s="2">
        <v>342532</v>
      </c>
      <c r="AD41" s="1">
        <v>41</v>
      </c>
      <c r="AE41" s="1">
        <v>45</v>
      </c>
      <c r="AF41" s="1">
        <v>0</v>
      </c>
      <c r="AG41" s="1">
        <v>0</v>
      </c>
      <c r="AH41" s="2">
        <v>4256</v>
      </c>
      <c r="AI41" s="2">
        <v>69790</v>
      </c>
      <c r="AJ41" s="2">
        <v>182836</v>
      </c>
      <c r="AK41" s="2">
        <v>509916</v>
      </c>
    </row>
    <row r="42" spans="1:37" x14ac:dyDescent="0.25">
      <c r="A42" s="3">
        <v>42</v>
      </c>
      <c r="B42" s="3">
        <v>46</v>
      </c>
      <c r="C42" s="3">
        <v>0</v>
      </c>
      <c r="D42" s="3">
        <v>0</v>
      </c>
      <c r="E42" s="4">
        <v>4896</v>
      </c>
      <c r="F42" s="4">
        <v>117073</v>
      </c>
      <c r="G42" s="4">
        <v>197172</v>
      </c>
      <c r="H42" s="4">
        <v>536274</v>
      </c>
      <c r="K42" s="3">
        <v>42</v>
      </c>
      <c r="L42" s="3">
        <v>85</v>
      </c>
      <c r="M42" s="3">
        <v>0</v>
      </c>
      <c r="N42" s="3">
        <v>0</v>
      </c>
      <c r="O42" s="4">
        <v>12798</v>
      </c>
      <c r="P42" s="4">
        <v>264531</v>
      </c>
      <c r="Q42" s="4">
        <v>353693</v>
      </c>
      <c r="R42" s="4">
        <v>396686</v>
      </c>
      <c r="U42" s="3">
        <v>42</v>
      </c>
      <c r="V42" s="3">
        <v>46</v>
      </c>
      <c r="W42" s="3">
        <v>0</v>
      </c>
      <c r="X42" s="3">
        <v>0</v>
      </c>
      <c r="Y42" s="4">
        <v>5957</v>
      </c>
      <c r="Z42" s="4">
        <v>128361</v>
      </c>
      <c r="AA42" s="4">
        <v>178830</v>
      </c>
      <c r="AB42" s="4">
        <v>354336</v>
      </c>
      <c r="AD42" s="3">
        <v>42</v>
      </c>
      <c r="AE42" s="3">
        <v>46</v>
      </c>
      <c r="AF42" s="3">
        <v>0</v>
      </c>
      <c r="AG42" s="3">
        <v>0</v>
      </c>
      <c r="AH42" s="4">
        <v>4477</v>
      </c>
      <c r="AI42" s="4">
        <v>76040</v>
      </c>
      <c r="AJ42" s="4">
        <v>191958</v>
      </c>
      <c r="AK42" s="4">
        <v>522094</v>
      </c>
    </row>
    <row r="43" spans="1:37" x14ac:dyDescent="0.25">
      <c r="A43" s="1">
        <v>43</v>
      </c>
      <c r="B43" s="1">
        <v>47</v>
      </c>
      <c r="C43" s="1">
        <v>0</v>
      </c>
      <c r="D43" s="1">
        <v>0</v>
      </c>
      <c r="E43" s="2">
        <v>5138</v>
      </c>
      <c r="F43" s="2">
        <v>125195</v>
      </c>
      <c r="G43" s="2">
        <v>207335</v>
      </c>
      <c r="H43" s="2">
        <v>549901</v>
      </c>
      <c r="K43" s="1">
        <v>43</v>
      </c>
      <c r="L43" s="1">
        <v>86</v>
      </c>
      <c r="M43" s="1">
        <v>0</v>
      </c>
      <c r="N43" s="1">
        <v>0</v>
      </c>
      <c r="O43" s="2">
        <v>13392</v>
      </c>
      <c r="P43" s="2">
        <v>280219</v>
      </c>
      <c r="Q43" s="2">
        <v>370155</v>
      </c>
      <c r="R43" s="2">
        <v>411577</v>
      </c>
      <c r="U43" s="1">
        <v>43</v>
      </c>
      <c r="V43" s="1">
        <v>47</v>
      </c>
      <c r="W43" s="1">
        <v>0</v>
      </c>
      <c r="X43" s="1">
        <v>0</v>
      </c>
      <c r="Y43" s="2">
        <v>6270</v>
      </c>
      <c r="Z43" s="2">
        <v>136869</v>
      </c>
      <c r="AA43" s="2">
        <v>188218</v>
      </c>
      <c r="AB43" s="2">
        <v>366547</v>
      </c>
      <c r="AD43" s="1">
        <v>43</v>
      </c>
      <c r="AE43" s="1">
        <v>47</v>
      </c>
      <c r="AF43" s="1">
        <v>0</v>
      </c>
      <c r="AG43" s="1">
        <v>0</v>
      </c>
      <c r="AH43" s="2">
        <v>4700</v>
      </c>
      <c r="AI43" s="2">
        <v>82678</v>
      </c>
      <c r="AJ43" s="2">
        <v>201550</v>
      </c>
      <c r="AK43" s="2">
        <v>534560</v>
      </c>
    </row>
    <row r="44" spans="1:37" x14ac:dyDescent="0.25">
      <c r="A44" s="3">
        <v>44</v>
      </c>
      <c r="B44" s="3">
        <v>48</v>
      </c>
      <c r="C44" s="3">
        <v>0</v>
      </c>
      <c r="D44" s="3">
        <v>0</v>
      </c>
      <c r="E44" s="4">
        <v>5398</v>
      </c>
      <c r="F44" s="4">
        <v>133790</v>
      </c>
      <c r="G44" s="4">
        <v>218028</v>
      </c>
      <c r="H44" s="4">
        <v>563860</v>
      </c>
      <c r="K44" s="3">
        <v>44</v>
      </c>
      <c r="L44" s="3">
        <v>87</v>
      </c>
      <c r="M44" s="3">
        <v>0</v>
      </c>
      <c r="N44" s="3">
        <v>0</v>
      </c>
      <c r="O44" s="4">
        <v>14008</v>
      </c>
      <c r="P44" s="4">
        <v>296499</v>
      </c>
      <c r="Q44" s="4">
        <v>387164</v>
      </c>
      <c r="R44" s="4">
        <v>427026</v>
      </c>
      <c r="U44" s="3">
        <v>44</v>
      </c>
      <c r="V44" s="3">
        <v>48</v>
      </c>
      <c r="W44" s="3">
        <v>0</v>
      </c>
      <c r="X44" s="3">
        <v>0</v>
      </c>
      <c r="Y44" s="4">
        <v>6596</v>
      </c>
      <c r="Z44" s="4">
        <v>145856</v>
      </c>
      <c r="AA44" s="4">
        <v>198102</v>
      </c>
      <c r="AB44" s="4">
        <v>379171</v>
      </c>
      <c r="AD44" s="3">
        <v>44</v>
      </c>
      <c r="AE44" s="3">
        <v>48</v>
      </c>
      <c r="AF44" s="3">
        <v>0</v>
      </c>
      <c r="AG44" s="3">
        <v>0</v>
      </c>
      <c r="AH44" s="4">
        <v>4939</v>
      </c>
      <c r="AI44" s="4">
        <v>89729</v>
      </c>
      <c r="AJ44" s="4">
        <v>211637</v>
      </c>
      <c r="AK44" s="4">
        <v>547333</v>
      </c>
    </row>
    <row r="45" spans="1:37" x14ac:dyDescent="0.25">
      <c r="A45" s="1">
        <v>45</v>
      </c>
      <c r="B45" s="1">
        <v>49</v>
      </c>
      <c r="C45" s="1">
        <v>0</v>
      </c>
      <c r="D45" s="1">
        <v>0</v>
      </c>
      <c r="E45" s="2">
        <v>5675</v>
      </c>
      <c r="F45" s="2">
        <v>142890</v>
      </c>
      <c r="G45" s="2">
        <v>229285</v>
      </c>
      <c r="H45" s="2">
        <v>578170</v>
      </c>
      <c r="K45" s="1">
        <v>45</v>
      </c>
      <c r="L45" s="1">
        <v>88</v>
      </c>
      <c r="M45" s="1">
        <v>0</v>
      </c>
      <c r="N45" s="1">
        <v>0</v>
      </c>
      <c r="O45" s="2">
        <v>14617</v>
      </c>
      <c r="P45" s="2">
        <v>313346</v>
      </c>
      <c r="Q45" s="2">
        <v>404693</v>
      </c>
      <c r="R45" s="2">
        <v>443028</v>
      </c>
      <c r="U45" s="1">
        <v>45</v>
      </c>
      <c r="V45" s="1">
        <v>49</v>
      </c>
      <c r="W45" s="1">
        <v>0</v>
      </c>
      <c r="X45" s="1">
        <v>0</v>
      </c>
      <c r="Y45" s="2">
        <v>6940</v>
      </c>
      <c r="Z45" s="2">
        <v>155348</v>
      </c>
      <c r="AA45" s="2">
        <v>208508</v>
      </c>
      <c r="AB45" s="2">
        <v>392227</v>
      </c>
      <c r="AD45" s="1">
        <v>45</v>
      </c>
      <c r="AE45" s="1">
        <v>49</v>
      </c>
      <c r="AF45" s="1">
        <v>0</v>
      </c>
      <c r="AG45" s="1">
        <v>0</v>
      </c>
      <c r="AH45" s="2">
        <v>5192</v>
      </c>
      <c r="AI45" s="2">
        <v>97218</v>
      </c>
      <c r="AJ45" s="2">
        <v>222248</v>
      </c>
      <c r="AK45" s="2">
        <v>560425</v>
      </c>
    </row>
    <row r="46" spans="1:37" x14ac:dyDescent="0.25">
      <c r="A46" s="3">
        <v>46</v>
      </c>
      <c r="B46" s="3">
        <v>50</v>
      </c>
      <c r="C46" s="3">
        <v>0</v>
      </c>
      <c r="D46" s="3">
        <v>0</v>
      </c>
      <c r="E46" s="4">
        <v>5951</v>
      </c>
      <c r="F46" s="4">
        <v>152513</v>
      </c>
      <c r="G46" s="4">
        <v>241127</v>
      </c>
      <c r="H46" s="4">
        <v>592799</v>
      </c>
      <c r="K46" s="3">
        <v>46</v>
      </c>
      <c r="L46" s="3">
        <v>89</v>
      </c>
      <c r="M46" s="3">
        <v>0</v>
      </c>
      <c r="N46" s="3">
        <v>0</v>
      </c>
      <c r="O46" s="4">
        <v>15230</v>
      </c>
      <c r="P46" s="4">
        <v>330744</v>
      </c>
      <c r="Q46" s="4">
        <v>422723</v>
      </c>
      <c r="R46" s="4">
        <v>459587</v>
      </c>
      <c r="U46" s="3">
        <v>46</v>
      </c>
      <c r="V46" s="3">
        <v>50</v>
      </c>
      <c r="W46" s="3">
        <v>0</v>
      </c>
      <c r="X46" s="3">
        <v>0</v>
      </c>
      <c r="Y46" s="4">
        <v>7297</v>
      </c>
      <c r="Z46" s="4">
        <v>165365</v>
      </c>
      <c r="AA46" s="4">
        <v>219456</v>
      </c>
      <c r="AB46" s="4">
        <v>405717</v>
      </c>
      <c r="AD46" s="3">
        <v>46</v>
      </c>
      <c r="AE46" s="3">
        <v>50</v>
      </c>
      <c r="AF46" s="3">
        <v>0</v>
      </c>
      <c r="AG46" s="3">
        <v>0</v>
      </c>
      <c r="AH46" s="4">
        <v>5444</v>
      </c>
      <c r="AI46" s="4">
        <v>105160</v>
      </c>
      <c r="AJ46" s="4">
        <v>233402</v>
      </c>
      <c r="AK46" s="4">
        <v>573808</v>
      </c>
    </row>
    <row r="47" spans="1:37" x14ac:dyDescent="0.25">
      <c r="A47" s="1">
        <v>47</v>
      </c>
      <c r="B47" s="1">
        <v>51</v>
      </c>
      <c r="C47" s="1">
        <v>0</v>
      </c>
      <c r="D47" s="1">
        <v>0</v>
      </c>
      <c r="E47" s="2">
        <v>6255</v>
      </c>
      <c r="F47" s="2">
        <v>162686</v>
      </c>
      <c r="G47" s="2">
        <v>253576</v>
      </c>
      <c r="H47" s="2">
        <v>607791</v>
      </c>
      <c r="K47" s="1">
        <v>47</v>
      </c>
      <c r="L47" s="1">
        <v>90</v>
      </c>
      <c r="M47" s="1">
        <v>0</v>
      </c>
      <c r="N47" s="1">
        <v>0</v>
      </c>
      <c r="O47" s="2">
        <v>15834</v>
      </c>
      <c r="P47" s="2">
        <v>348675</v>
      </c>
      <c r="Q47" s="2">
        <v>441237</v>
      </c>
      <c r="R47" s="2">
        <v>476693</v>
      </c>
      <c r="U47" s="1">
        <v>47</v>
      </c>
      <c r="V47" s="1">
        <v>51</v>
      </c>
      <c r="W47" s="1">
        <v>0</v>
      </c>
      <c r="X47" s="1">
        <v>0</v>
      </c>
      <c r="Y47" s="2">
        <v>7685</v>
      </c>
      <c r="Z47" s="2">
        <v>175946</v>
      </c>
      <c r="AA47" s="2">
        <v>230984</v>
      </c>
      <c r="AB47" s="2">
        <v>419680</v>
      </c>
      <c r="AD47" s="1">
        <v>47</v>
      </c>
      <c r="AE47" s="1">
        <v>51</v>
      </c>
      <c r="AF47" s="1">
        <v>0</v>
      </c>
      <c r="AG47" s="1">
        <v>0</v>
      </c>
      <c r="AH47" s="2">
        <v>5725</v>
      </c>
      <c r="AI47" s="2">
        <v>113586</v>
      </c>
      <c r="AJ47" s="2">
        <v>245123</v>
      </c>
      <c r="AK47" s="2">
        <v>587529</v>
      </c>
    </row>
    <row r="48" spans="1:37" x14ac:dyDescent="0.25">
      <c r="A48" s="3">
        <v>48</v>
      </c>
      <c r="B48" s="3">
        <v>52</v>
      </c>
      <c r="C48" s="3">
        <v>0</v>
      </c>
      <c r="D48" s="3">
        <v>0</v>
      </c>
      <c r="E48" s="4">
        <v>6578</v>
      </c>
      <c r="F48" s="4">
        <v>173440</v>
      </c>
      <c r="G48" s="4">
        <v>266664</v>
      </c>
      <c r="H48" s="4">
        <v>623163</v>
      </c>
      <c r="K48" s="3">
        <v>48</v>
      </c>
      <c r="L48" s="3">
        <v>91</v>
      </c>
      <c r="M48" s="3">
        <v>0</v>
      </c>
      <c r="N48" s="3">
        <v>0</v>
      </c>
      <c r="O48" s="4">
        <v>16444</v>
      </c>
      <c r="P48" s="4">
        <v>367153</v>
      </c>
      <c r="Q48" s="4">
        <v>460255</v>
      </c>
      <c r="R48" s="4">
        <v>494356</v>
      </c>
      <c r="U48" s="3">
        <v>48</v>
      </c>
      <c r="V48" s="3">
        <v>52</v>
      </c>
      <c r="W48" s="3">
        <v>0</v>
      </c>
      <c r="X48" s="3">
        <v>0</v>
      </c>
      <c r="Y48" s="4">
        <v>8087</v>
      </c>
      <c r="Z48" s="4">
        <v>187108</v>
      </c>
      <c r="AA48" s="4">
        <v>243108</v>
      </c>
      <c r="AB48" s="4">
        <v>434121</v>
      </c>
      <c r="AD48" s="3">
        <v>48</v>
      </c>
      <c r="AE48" s="3">
        <v>52</v>
      </c>
      <c r="AF48" s="3">
        <v>0</v>
      </c>
      <c r="AG48" s="3">
        <v>0</v>
      </c>
      <c r="AH48" s="4">
        <v>6019</v>
      </c>
      <c r="AI48" s="4">
        <v>122521</v>
      </c>
      <c r="AJ48" s="4">
        <v>257434</v>
      </c>
      <c r="AK48" s="4">
        <v>601594</v>
      </c>
    </row>
    <row r="49" spans="1:37" x14ac:dyDescent="0.25">
      <c r="A49" s="1">
        <v>49</v>
      </c>
      <c r="B49" s="1">
        <v>53</v>
      </c>
      <c r="C49" s="1">
        <v>0</v>
      </c>
      <c r="D49" s="1">
        <v>0</v>
      </c>
      <c r="E49" s="2">
        <v>6914</v>
      </c>
      <c r="F49" s="2">
        <v>184792</v>
      </c>
      <c r="G49" s="2">
        <v>280401</v>
      </c>
      <c r="H49" s="2">
        <v>638917</v>
      </c>
      <c r="K49" s="1">
        <v>49</v>
      </c>
      <c r="L49" s="1">
        <v>92</v>
      </c>
      <c r="M49" s="1">
        <v>0</v>
      </c>
      <c r="N49" s="1">
        <v>0</v>
      </c>
      <c r="O49" s="2">
        <v>17035</v>
      </c>
      <c r="P49" s="2">
        <v>386180</v>
      </c>
      <c r="Q49" s="2">
        <v>479787</v>
      </c>
      <c r="R49" s="2">
        <v>512555</v>
      </c>
      <c r="U49" s="1">
        <v>49</v>
      </c>
      <c r="V49" s="1">
        <v>53</v>
      </c>
      <c r="W49" s="1">
        <v>0</v>
      </c>
      <c r="X49" s="1">
        <v>0</v>
      </c>
      <c r="Y49" s="2">
        <v>8512</v>
      </c>
      <c r="Z49" s="2">
        <v>198878</v>
      </c>
      <c r="AA49" s="2">
        <v>255853</v>
      </c>
      <c r="AB49" s="2">
        <v>449061</v>
      </c>
      <c r="AD49" s="1">
        <v>49</v>
      </c>
      <c r="AE49" s="1">
        <v>53</v>
      </c>
      <c r="AF49" s="1">
        <v>0</v>
      </c>
      <c r="AG49" s="1">
        <v>0</v>
      </c>
      <c r="AH49" s="2">
        <v>6324</v>
      </c>
      <c r="AI49" s="2">
        <v>131980</v>
      </c>
      <c r="AJ49" s="2">
        <v>270346</v>
      </c>
      <c r="AK49" s="2">
        <v>616004</v>
      </c>
    </row>
    <row r="50" spans="1:37" x14ac:dyDescent="0.25">
      <c r="A50" s="3">
        <v>50</v>
      </c>
      <c r="B50" s="3">
        <v>54</v>
      </c>
      <c r="C50" s="3">
        <v>0</v>
      </c>
      <c r="D50" s="3">
        <v>0</v>
      </c>
      <c r="E50" s="4">
        <v>7266</v>
      </c>
      <c r="F50" s="4">
        <v>196766</v>
      </c>
      <c r="G50" s="4">
        <v>294811</v>
      </c>
      <c r="H50" s="4">
        <v>655062</v>
      </c>
      <c r="K50" s="3">
        <v>50</v>
      </c>
      <c r="L50" s="3">
        <v>93</v>
      </c>
      <c r="M50" s="3">
        <v>0</v>
      </c>
      <c r="N50" s="3">
        <v>0</v>
      </c>
      <c r="O50" s="4">
        <v>17644</v>
      </c>
      <c r="P50" s="4">
        <v>405833</v>
      </c>
      <c r="Q50" s="4">
        <v>499927</v>
      </c>
      <c r="R50" s="4">
        <v>531306</v>
      </c>
      <c r="U50" s="3">
        <v>50</v>
      </c>
      <c r="V50" s="3">
        <v>54</v>
      </c>
      <c r="W50" s="3">
        <v>0</v>
      </c>
      <c r="X50" s="3">
        <v>0</v>
      </c>
      <c r="Y50" s="4">
        <v>8957</v>
      </c>
      <c r="Z50" s="4">
        <v>211287</v>
      </c>
      <c r="AA50" s="4">
        <v>269251</v>
      </c>
      <c r="AB50" s="4">
        <v>464515</v>
      </c>
      <c r="AD50" s="3">
        <v>50</v>
      </c>
      <c r="AE50" s="3">
        <v>54</v>
      </c>
      <c r="AF50" s="3">
        <v>0</v>
      </c>
      <c r="AG50" s="3">
        <v>0</v>
      </c>
      <c r="AH50" s="4">
        <v>6647</v>
      </c>
      <c r="AI50" s="4">
        <v>141989</v>
      </c>
      <c r="AJ50" s="4">
        <v>283880</v>
      </c>
      <c r="AK50" s="4">
        <v>630774</v>
      </c>
    </row>
    <row r="51" spans="1:37" x14ac:dyDescent="0.25">
      <c r="A51" s="1">
        <v>51</v>
      </c>
      <c r="B51" s="1">
        <v>55</v>
      </c>
      <c r="C51" s="1">
        <v>0</v>
      </c>
      <c r="D51" s="1">
        <v>0</v>
      </c>
      <c r="E51" s="2">
        <v>7639</v>
      </c>
      <c r="F51" s="2">
        <v>209402</v>
      </c>
      <c r="G51" s="2">
        <v>309937</v>
      </c>
      <c r="H51" s="2">
        <v>671615</v>
      </c>
      <c r="K51" s="1">
        <v>51</v>
      </c>
      <c r="L51" s="1">
        <v>94</v>
      </c>
      <c r="M51" s="1">
        <v>0</v>
      </c>
      <c r="N51" s="1">
        <v>0</v>
      </c>
      <c r="O51" s="2">
        <v>18265</v>
      </c>
      <c r="P51" s="2">
        <v>426190</v>
      </c>
      <c r="Q51" s="2">
        <v>520769</v>
      </c>
      <c r="R51" s="2">
        <v>550618</v>
      </c>
      <c r="U51" s="1">
        <v>51</v>
      </c>
      <c r="V51" s="1">
        <v>55</v>
      </c>
      <c r="W51" s="1">
        <v>0</v>
      </c>
      <c r="X51" s="1">
        <v>0</v>
      </c>
      <c r="Y51" s="2">
        <v>9432</v>
      </c>
      <c r="Z51" s="2">
        <v>224372</v>
      </c>
      <c r="AA51" s="2">
        <v>283338</v>
      </c>
      <c r="AB51" s="2">
        <v>480511</v>
      </c>
      <c r="AD51" s="1">
        <v>51</v>
      </c>
      <c r="AE51" s="1">
        <v>55</v>
      </c>
      <c r="AF51" s="1">
        <v>0</v>
      </c>
      <c r="AG51" s="1">
        <v>0</v>
      </c>
      <c r="AH51" s="2">
        <v>6992</v>
      </c>
      <c r="AI51" s="2">
        <v>152587</v>
      </c>
      <c r="AJ51" s="2">
        <v>298081</v>
      </c>
      <c r="AK51" s="2">
        <v>645924</v>
      </c>
    </row>
    <row r="52" spans="1:37" x14ac:dyDescent="0.25">
      <c r="A52" s="3">
        <v>52</v>
      </c>
      <c r="B52" s="3">
        <v>56</v>
      </c>
      <c r="C52" s="3">
        <v>0</v>
      </c>
      <c r="D52" s="3">
        <v>0</v>
      </c>
      <c r="E52" s="4">
        <v>8054</v>
      </c>
      <c r="F52" s="4">
        <v>222742</v>
      </c>
      <c r="G52" s="4">
        <v>325815</v>
      </c>
      <c r="H52" s="4">
        <v>688638</v>
      </c>
      <c r="K52" s="3">
        <v>52</v>
      </c>
      <c r="L52" s="3">
        <v>95</v>
      </c>
      <c r="M52" s="3">
        <v>0</v>
      </c>
      <c r="N52" s="3">
        <v>0</v>
      </c>
      <c r="O52" s="4">
        <v>18890</v>
      </c>
      <c r="P52" s="4">
        <v>447396</v>
      </c>
      <c r="Q52" s="4">
        <v>542489</v>
      </c>
      <c r="R52" s="4">
        <v>570483</v>
      </c>
      <c r="U52" s="3">
        <v>52</v>
      </c>
      <c r="V52" s="3">
        <v>56</v>
      </c>
      <c r="W52" s="3">
        <v>0</v>
      </c>
      <c r="X52" s="3">
        <v>0</v>
      </c>
      <c r="Y52" s="4">
        <v>9939</v>
      </c>
      <c r="Z52" s="4">
        <v>238166</v>
      </c>
      <c r="AA52" s="4">
        <v>298145</v>
      </c>
      <c r="AB52" s="4">
        <v>497082</v>
      </c>
      <c r="AD52" s="3">
        <v>52</v>
      </c>
      <c r="AE52" s="3">
        <v>56</v>
      </c>
      <c r="AF52" s="3">
        <v>0</v>
      </c>
      <c r="AG52" s="3">
        <v>0</v>
      </c>
      <c r="AH52" s="4">
        <v>7372</v>
      </c>
      <c r="AI52" s="4">
        <v>163811</v>
      </c>
      <c r="AJ52" s="4">
        <v>312978</v>
      </c>
      <c r="AK52" s="4">
        <v>661506</v>
      </c>
    </row>
    <row r="53" spans="1:37" x14ac:dyDescent="0.25">
      <c r="A53" s="1">
        <v>53</v>
      </c>
      <c r="B53" s="1">
        <v>57</v>
      </c>
      <c r="C53" s="1">
        <v>0</v>
      </c>
      <c r="D53" s="1">
        <v>0</v>
      </c>
      <c r="E53" s="2">
        <v>8507</v>
      </c>
      <c r="F53" s="2">
        <v>236838</v>
      </c>
      <c r="G53" s="2">
        <v>342497</v>
      </c>
      <c r="H53" s="2">
        <v>706179</v>
      </c>
      <c r="K53" s="1">
        <v>53</v>
      </c>
      <c r="L53" s="1">
        <v>96</v>
      </c>
      <c r="M53" s="1">
        <v>0</v>
      </c>
      <c r="N53" s="1">
        <v>0</v>
      </c>
      <c r="O53" s="2">
        <v>19530</v>
      </c>
      <c r="P53" s="2">
        <v>469692</v>
      </c>
      <c r="Q53" s="2">
        <v>565373</v>
      </c>
      <c r="R53" s="2">
        <v>590894</v>
      </c>
      <c r="U53" s="1">
        <v>53</v>
      </c>
      <c r="V53" s="1">
        <v>57</v>
      </c>
      <c r="W53" s="1">
        <v>0</v>
      </c>
      <c r="X53" s="1">
        <v>0</v>
      </c>
      <c r="Y53" s="2">
        <v>10480</v>
      </c>
      <c r="Z53" s="2">
        <v>252712</v>
      </c>
      <c r="AA53" s="2">
        <v>313715</v>
      </c>
      <c r="AB53" s="2">
        <v>514261</v>
      </c>
      <c r="AD53" s="1">
        <v>53</v>
      </c>
      <c r="AE53" s="1">
        <v>57</v>
      </c>
      <c r="AF53" s="1">
        <v>0</v>
      </c>
      <c r="AG53" s="1">
        <v>0</v>
      </c>
      <c r="AH53" s="2">
        <v>7785</v>
      </c>
      <c r="AI53" s="2">
        <v>175705</v>
      </c>
      <c r="AJ53" s="2">
        <v>328615</v>
      </c>
      <c r="AK53" s="2">
        <v>677557</v>
      </c>
    </row>
    <row r="54" spans="1:37" x14ac:dyDescent="0.25">
      <c r="A54" s="3">
        <v>54</v>
      </c>
      <c r="B54" s="3">
        <v>58</v>
      </c>
      <c r="C54" s="3">
        <v>0</v>
      </c>
      <c r="D54" s="3">
        <v>0</v>
      </c>
      <c r="E54" s="4">
        <v>8991</v>
      </c>
      <c r="F54" s="4">
        <v>251723</v>
      </c>
      <c r="G54" s="4">
        <v>360011</v>
      </c>
      <c r="H54" s="4">
        <v>724267</v>
      </c>
      <c r="K54" s="3">
        <v>54</v>
      </c>
      <c r="L54" s="3">
        <v>97</v>
      </c>
      <c r="M54" s="3">
        <v>0</v>
      </c>
      <c r="N54" s="3">
        <v>0</v>
      </c>
      <c r="O54" s="4">
        <v>20194</v>
      </c>
      <c r="P54" s="4">
        <v>493258</v>
      </c>
      <c r="Q54" s="4">
        <v>589626</v>
      </c>
      <c r="R54" s="4">
        <v>611849</v>
      </c>
      <c r="U54" s="3">
        <v>54</v>
      </c>
      <c r="V54" s="3">
        <v>58</v>
      </c>
      <c r="W54" s="3">
        <v>0</v>
      </c>
      <c r="X54" s="3">
        <v>0</v>
      </c>
      <c r="Y54" s="4">
        <v>11062</v>
      </c>
      <c r="Z54" s="4">
        <v>268058</v>
      </c>
      <c r="AA54" s="4">
        <v>330095</v>
      </c>
      <c r="AB54" s="4">
        <v>532094</v>
      </c>
      <c r="AD54" s="3">
        <v>54</v>
      </c>
      <c r="AE54" s="3">
        <v>58</v>
      </c>
      <c r="AF54" s="3">
        <v>0</v>
      </c>
      <c r="AG54" s="3">
        <v>0</v>
      </c>
      <c r="AH54" s="4">
        <v>8228</v>
      </c>
      <c r="AI54" s="4">
        <v>188306</v>
      </c>
      <c r="AJ54" s="4">
        <v>345021</v>
      </c>
      <c r="AK54" s="4">
        <v>694109</v>
      </c>
    </row>
    <row r="55" spans="1:37" x14ac:dyDescent="0.25">
      <c r="A55" s="1">
        <v>55</v>
      </c>
      <c r="B55" s="1">
        <v>59</v>
      </c>
      <c r="C55" s="1">
        <v>0</v>
      </c>
      <c r="D55" s="1">
        <v>0</v>
      </c>
      <c r="E55" s="2">
        <v>9517</v>
      </c>
      <c r="F55" s="2">
        <v>267458</v>
      </c>
      <c r="G55" s="2">
        <v>378422</v>
      </c>
      <c r="H55" s="2">
        <v>742951</v>
      </c>
      <c r="K55" s="1">
        <v>55</v>
      </c>
      <c r="L55" s="1">
        <v>98</v>
      </c>
      <c r="M55" s="1">
        <v>0</v>
      </c>
      <c r="N55" s="1">
        <v>0</v>
      </c>
      <c r="O55" s="2">
        <v>20840</v>
      </c>
      <c r="P55" s="2">
        <v>518465</v>
      </c>
      <c r="Q55" s="2">
        <v>615686</v>
      </c>
      <c r="R55" s="2">
        <v>633285</v>
      </c>
      <c r="U55" s="1">
        <v>55</v>
      </c>
      <c r="V55" s="1">
        <v>59</v>
      </c>
      <c r="W55" s="1">
        <v>0</v>
      </c>
      <c r="X55" s="1">
        <v>0</v>
      </c>
      <c r="Y55" s="2">
        <v>11671</v>
      </c>
      <c r="Z55" s="2">
        <v>284235</v>
      </c>
      <c r="AA55" s="2">
        <v>347315</v>
      </c>
      <c r="AB55" s="2">
        <v>550595</v>
      </c>
      <c r="AD55" s="1">
        <v>55</v>
      </c>
      <c r="AE55" s="1">
        <v>59</v>
      </c>
      <c r="AF55" s="1">
        <v>0</v>
      </c>
      <c r="AG55" s="1">
        <v>0</v>
      </c>
      <c r="AH55" s="2">
        <v>8710</v>
      </c>
      <c r="AI55" s="2">
        <v>201668</v>
      </c>
      <c r="AJ55" s="2">
        <v>362254</v>
      </c>
      <c r="AK55" s="2">
        <v>711209</v>
      </c>
    </row>
    <row r="56" spans="1:37" x14ac:dyDescent="0.25">
      <c r="A56" s="3">
        <v>56</v>
      </c>
      <c r="B56" s="3">
        <v>60</v>
      </c>
      <c r="C56" s="3">
        <v>0</v>
      </c>
      <c r="D56" s="3">
        <v>0</v>
      </c>
      <c r="E56" s="4">
        <v>10078</v>
      </c>
      <c r="F56" s="4">
        <v>284073</v>
      </c>
      <c r="G56" s="4">
        <v>397750</v>
      </c>
      <c r="H56" s="4">
        <v>762265</v>
      </c>
      <c r="K56" s="3">
        <v>56</v>
      </c>
      <c r="L56" s="3">
        <v>99</v>
      </c>
      <c r="M56" s="3">
        <v>0</v>
      </c>
      <c r="N56" s="3">
        <v>0</v>
      </c>
      <c r="O56" s="4">
        <v>21432</v>
      </c>
      <c r="P56" s="4">
        <v>545971</v>
      </c>
      <c r="Q56" s="4">
        <v>644331</v>
      </c>
      <c r="R56" s="4">
        <v>655074</v>
      </c>
      <c r="U56" s="3">
        <v>56</v>
      </c>
      <c r="V56" s="3">
        <v>60</v>
      </c>
      <c r="W56" s="3">
        <v>0</v>
      </c>
      <c r="X56" s="3">
        <v>0</v>
      </c>
      <c r="Y56" s="4">
        <v>12322</v>
      </c>
      <c r="Z56" s="4">
        <v>301289</v>
      </c>
      <c r="AA56" s="4">
        <v>365419</v>
      </c>
      <c r="AB56" s="4">
        <v>569809</v>
      </c>
      <c r="AD56" s="3">
        <v>56</v>
      </c>
      <c r="AE56" s="3">
        <v>60</v>
      </c>
      <c r="AF56" s="3">
        <v>0</v>
      </c>
      <c r="AG56" s="3">
        <v>0</v>
      </c>
      <c r="AH56" s="4">
        <v>9228</v>
      </c>
      <c r="AI56" s="4">
        <v>215825</v>
      </c>
      <c r="AJ56" s="4">
        <v>380337</v>
      </c>
      <c r="AK56" s="4">
        <v>728894</v>
      </c>
    </row>
    <row r="57" spans="1:37" x14ac:dyDescent="0.25">
      <c r="A57" s="1">
        <v>57</v>
      </c>
      <c r="B57" s="1">
        <v>61</v>
      </c>
      <c r="C57" s="1">
        <v>0</v>
      </c>
      <c r="D57" s="1">
        <v>0</v>
      </c>
      <c r="E57" s="2">
        <v>10676</v>
      </c>
      <c r="F57" s="2">
        <v>301614</v>
      </c>
      <c r="G57" s="2">
        <v>418038</v>
      </c>
      <c r="H57" s="2">
        <v>782242</v>
      </c>
      <c r="K57" s="1">
        <v>57</v>
      </c>
      <c r="L57" s="1">
        <v>100</v>
      </c>
      <c r="M57" s="1">
        <v>0</v>
      </c>
      <c r="N57" s="1">
        <v>0</v>
      </c>
      <c r="O57" s="2">
        <v>21881</v>
      </c>
      <c r="P57" s="2">
        <v>576955</v>
      </c>
      <c r="Q57" s="2">
        <v>676955</v>
      </c>
      <c r="R57" s="2">
        <v>676955</v>
      </c>
      <c r="U57" s="1">
        <v>57</v>
      </c>
      <c r="V57" s="1">
        <v>61</v>
      </c>
      <c r="W57" s="1">
        <v>0</v>
      </c>
      <c r="X57" s="1">
        <v>0</v>
      </c>
      <c r="Y57" s="2">
        <v>13014</v>
      </c>
      <c r="Z57" s="2">
        <v>319264</v>
      </c>
      <c r="AA57" s="2">
        <v>384450</v>
      </c>
      <c r="AB57" s="2">
        <v>589774</v>
      </c>
      <c r="AD57" s="1">
        <v>57</v>
      </c>
      <c r="AE57" s="1">
        <v>61</v>
      </c>
      <c r="AF57" s="1">
        <v>0</v>
      </c>
      <c r="AG57" s="1">
        <v>0</v>
      </c>
      <c r="AH57" s="2">
        <v>9772</v>
      </c>
      <c r="AI57" s="2">
        <v>230813</v>
      </c>
      <c r="AJ57" s="2">
        <v>399300</v>
      </c>
      <c r="AK57" s="2">
        <v>747180</v>
      </c>
    </row>
    <row r="58" spans="1:37" x14ac:dyDescent="0.25">
      <c r="A58" s="3">
        <v>58</v>
      </c>
      <c r="B58" s="3">
        <v>62</v>
      </c>
      <c r="C58" s="3">
        <v>0</v>
      </c>
      <c r="D58" s="3">
        <v>0</v>
      </c>
      <c r="E58" s="4">
        <v>11293</v>
      </c>
      <c r="F58" s="4">
        <v>320103</v>
      </c>
      <c r="G58" s="4">
        <v>439304</v>
      </c>
      <c r="H58" s="4">
        <v>802880</v>
      </c>
      <c r="K58" s="3">
        <v>58</v>
      </c>
      <c r="L58" s="3">
        <v>101</v>
      </c>
      <c r="M58" s="3">
        <v>0</v>
      </c>
      <c r="N58" s="3">
        <v>0</v>
      </c>
      <c r="O58" s="4">
        <v>36520</v>
      </c>
      <c r="P58" s="4">
        <v>613475</v>
      </c>
      <c r="Q58" s="4">
        <v>713475</v>
      </c>
      <c r="R58" s="4">
        <v>713475</v>
      </c>
      <c r="U58" s="3">
        <v>58</v>
      </c>
      <c r="V58" s="3">
        <v>62</v>
      </c>
      <c r="W58" s="3">
        <v>0</v>
      </c>
      <c r="X58" s="3">
        <v>0</v>
      </c>
      <c r="Y58" s="4">
        <v>13739</v>
      </c>
      <c r="Z58" s="4">
        <v>338190</v>
      </c>
      <c r="AA58" s="4">
        <v>404435</v>
      </c>
      <c r="AB58" s="4">
        <v>610514</v>
      </c>
      <c r="AD58" s="3">
        <v>58</v>
      </c>
      <c r="AE58" s="3">
        <v>62</v>
      </c>
      <c r="AF58" s="3">
        <v>0</v>
      </c>
      <c r="AG58" s="3">
        <v>0</v>
      </c>
      <c r="AH58" s="4">
        <v>10337</v>
      </c>
      <c r="AI58" s="4">
        <v>246656</v>
      </c>
      <c r="AJ58" s="4">
        <v>419164</v>
      </c>
      <c r="AK58" s="4">
        <v>766071</v>
      </c>
    </row>
    <row r="59" spans="1:37" x14ac:dyDescent="0.25">
      <c r="A59" s="1">
        <v>59</v>
      </c>
      <c r="B59" s="1">
        <v>63</v>
      </c>
      <c r="C59" s="1">
        <v>0</v>
      </c>
      <c r="D59" s="1">
        <v>0</v>
      </c>
      <c r="E59" s="2">
        <v>11938</v>
      </c>
      <c r="F59" s="2">
        <v>339570</v>
      </c>
      <c r="G59" s="2">
        <v>461575</v>
      </c>
      <c r="H59" s="2">
        <v>824197</v>
      </c>
      <c r="K59" s="1">
        <v>59</v>
      </c>
      <c r="L59" s="1">
        <v>102</v>
      </c>
      <c r="M59" s="1">
        <v>0</v>
      </c>
      <c r="N59" s="1">
        <v>0</v>
      </c>
      <c r="O59" s="2">
        <v>38482</v>
      </c>
      <c r="P59" s="2">
        <v>651957</v>
      </c>
      <c r="Q59" s="2">
        <v>751957</v>
      </c>
      <c r="R59" s="2">
        <v>751957</v>
      </c>
      <c r="U59" s="1">
        <v>59</v>
      </c>
      <c r="V59" s="1">
        <v>63</v>
      </c>
      <c r="W59" s="1">
        <v>0</v>
      </c>
      <c r="X59" s="1">
        <v>0</v>
      </c>
      <c r="Y59" s="2">
        <v>14501</v>
      </c>
      <c r="Z59" s="2">
        <v>358118</v>
      </c>
      <c r="AA59" s="2">
        <v>425426</v>
      </c>
      <c r="AB59" s="2">
        <v>632059</v>
      </c>
      <c r="AD59" s="1">
        <v>59</v>
      </c>
      <c r="AE59" s="1">
        <v>63</v>
      </c>
      <c r="AF59" s="1">
        <v>0</v>
      </c>
      <c r="AG59" s="1">
        <v>0</v>
      </c>
      <c r="AH59" s="2">
        <v>10926</v>
      </c>
      <c r="AI59" s="2">
        <v>263384</v>
      </c>
      <c r="AJ59" s="2">
        <v>439948</v>
      </c>
      <c r="AK59" s="2">
        <v>785580</v>
      </c>
    </row>
    <row r="60" spans="1:37" x14ac:dyDescent="0.25">
      <c r="A60" s="3">
        <v>60</v>
      </c>
      <c r="B60" s="3">
        <v>64</v>
      </c>
      <c r="C60" s="3">
        <v>0</v>
      </c>
      <c r="D60" s="3">
        <v>0</v>
      </c>
      <c r="E60" s="4">
        <v>12614</v>
      </c>
      <c r="F60" s="4">
        <v>360048</v>
      </c>
      <c r="G60" s="4">
        <v>484878</v>
      </c>
      <c r="H60" s="4">
        <v>846210</v>
      </c>
      <c r="K60" s="3">
        <v>60</v>
      </c>
      <c r="L60" s="3">
        <v>103</v>
      </c>
      <c r="M60" s="3">
        <v>0</v>
      </c>
      <c r="N60" s="3">
        <v>0</v>
      </c>
      <c r="O60" s="4">
        <v>40548</v>
      </c>
      <c r="P60" s="4">
        <v>692505</v>
      </c>
      <c r="Q60" s="4">
        <v>792505</v>
      </c>
      <c r="R60" s="4">
        <v>792505</v>
      </c>
      <c r="U60" s="3">
        <v>60</v>
      </c>
      <c r="V60" s="3">
        <v>64</v>
      </c>
      <c r="W60" s="3">
        <v>0</v>
      </c>
      <c r="X60" s="3">
        <v>0</v>
      </c>
      <c r="Y60" s="4">
        <v>15297</v>
      </c>
      <c r="Z60" s="4">
        <v>379076</v>
      </c>
      <c r="AA60" s="4">
        <v>447448</v>
      </c>
      <c r="AB60" s="4">
        <v>654432</v>
      </c>
      <c r="AD60" s="3">
        <v>60</v>
      </c>
      <c r="AE60" s="3">
        <v>64</v>
      </c>
      <c r="AF60" s="3">
        <v>0</v>
      </c>
      <c r="AG60" s="3">
        <v>0</v>
      </c>
      <c r="AH60" s="4">
        <v>11548</v>
      </c>
      <c r="AI60" s="4">
        <v>281031</v>
      </c>
      <c r="AJ60" s="4">
        <v>461685</v>
      </c>
      <c r="AK60" s="4">
        <v>805734</v>
      </c>
    </row>
    <row r="61" spans="1:37" x14ac:dyDescent="0.25">
      <c r="A61" s="1">
        <v>61</v>
      </c>
      <c r="B61" s="1">
        <v>65</v>
      </c>
      <c r="C61" s="1">
        <v>0</v>
      </c>
      <c r="D61" s="1">
        <v>0</v>
      </c>
      <c r="E61" s="2">
        <v>13340</v>
      </c>
      <c r="F61" s="2">
        <v>381600</v>
      </c>
      <c r="G61" s="2">
        <v>509278</v>
      </c>
      <c r="H61" s="2">
        <v>868972</v>
      </c>
      <c r="K61" s="1">
        <v>61</v>
      </c>
      <c r="L61" s="1">
        <v>104</v>
      </c>
      <c r="M61" s="1">
        <v>0</v>
      </c>
      <c r="N61" s="1">
        <v>0</v>
      </c>
      <c r="O61" s="2">
        <v>42726</v>
      </c>
      <c r="P61" s="2">
        <v>735231</v>
      </c>
      <c r="Q61" s="2">
        <v>835231</v>
      </c>
      <c r="R61" s="2">
        <v>835231</v>
      </c>
      <c r="U61" s="1">
        <v>61</v>
      </c>
      <c r="V61" s="1">
        <v>65</v>
      </c>
      <c r="W61" s="1">
        <v>0</v>
      </c>
      <c r="X61" s="1">
        <v>0</v>
      </c>
      <c r="Y61" s="2">
        <v>16145</v>
      </c>
      <c r="Z61" s="2">
        <v>401115</v>
      </c>
      <c r="AA61" s="2">
        <v>470550</v>
      </c>
      <c r="AB61" s="2">
        <v>677684</v>
      </c>
      <c r="AD61" s="1">
        <v>61</v>
      </c>
      <c r="AE61" s="1">
        <v>65</v>
      </c>
      <c r="AF61" s="1">
        <v>0</v>
      </c>
      <c r="AG61" s="1">
        <v>0</v>
      </c>
      <c r="AH61" s="2">
        <v>12211</v>
      </c>
      <c r="AI61" s="2">
        <v>299652</v>
      </c>
      <c r="AJ61" s="2">
        <v>484427</v>
      </c>
      <c r="AK61" s="2">
        <v>826568</v>
      </c>
    </row>
    <row r="62" spans="1:37" x14ac:dyDescent="0.25">
      <c r="A62" s="3">
        <v>62</v>
      </c>
      <c r="B62" s="3">
        <v>66</v>
      </c>
      <c r="C62" s="3">
        <v>0</v>
      </c>
      <c r="D62" s="3">
        <v>0</v>
      </c>
      <c r="E62" s="4">
        <v>14087</v>
      </c>
      <c r="F62" s="4">
        <v>404250</v>
      </c>
      <c r="G62" s="4">
        <v>534793</v>
      </c>
      <c r="H62" s="4">
        <v>892481</v>
      </c>
      <c r="K62" s="3">
        <v>62</v>
      </c>
      <c r="L62" s="3">
        <v>105</v>
      </c>
      <c r="M62" s="3">
        <v>0</v>
      </c>
      <c r="N62" s="3">
        <v>0</v>
      </c>
      <c r="O62" s="4">
        <v>45020</v>
      </c>
      <c r="P62" s="4">
        <v>780251</v>
      </c>
      <c r="Q62" s="4">
        <v>880251</v>
      </c>
      <c r="R62" s="4">
        <v>880251</v>
      </c>
      <c r="U62" s="3">
        <v>62</v>
      </c>
      <c r="V62" s="3">
        <v>66</v>
      </c>
      <c r="W62" s="3">
        <v>0</v>
      </c>
      <c r="X62" s="3">
        <v>0</v>
      </c>
      <c r="Y62" s="4">
        <v>17023</v>
      </c>
      <c r="Z62" s="4">
        <v>424290</v>
      </c>
      <c r="AA62" s="4">
        <v>494790</v>
      </c>
      <c r="AB62" s="4">
        <v>701829</v>
      </c>
      <c r="AD62" s="3">
        <v>62</v>
      </c>
      <c r="AE62" s="3">
        <v>66</v>
      </c>
      <c r="AF62" s="3">
        <v>0</v>
      </c>
      <c r="AG62" s="3">
        <v>0</v>
      </c>
      <c r="AH62" s="4">
        <v>12897</v>
      </c>
      <c r="AI62" s="4">
        <v>319273</v>
      </c>
      <c r="AJ62" s="4">
        <v>508194</v>
      </c>
      <c r="AK62" s="4">
        <v>848092</v>
      </c>
    </row>
    <row r="63" spans="1:37" x14ac:dyDescent="0.25">
      <c r="A63" s="1">
        <v>63</v>
      </c>
      <c r="B63" s="1">
        <v>67</v>
      </c>
      <c r="C63" s="1">
        <v>0</v>
      </c>
      <c r="D63" s="1">
        <v>0</v>
      </c>
      <c r="E63" s="2">
        <v>14863</v>
      </c>
      <c r="F63" s="2">
        <v>428059</v>
      </c>
      <c r="G63" s="2">
        <v>561490</v>
      </c>
      <c r="H63" s="2">
        <v>916748</v>
      </c>
      <c r="K63" s="1">
        <v>63</v>
      </c>
      <c r="L63" s="1">
        <v>106</v>
      </c>
      <c r="M63" s="1">
        <v>0</v>
      </c>
      <c r="N63" s="1">
        <v>0</v>
      </c>
      <c r="O63" s="2">
        <v>47437</v>
      </c>
      <c r="P63" s="2">
        <v>827688</v>
      </c>
      <c r="Q63" s="2">
        <v>927688</v>
      </c>
      <c r="R63" s="2">
        <v>927688</v>
      </c>
      <c r="U63" s="1">
        <v>63</v>
      </c>
      <c r="V63" s="1">
        <v>67</v>
      </c>
      <c r="W63" s="1">
        <v>0</v>
      </c>
      <c r="X63" s="1">
        <v>0</v>
      </c>
      <c r="Y63" s="2">
        <v>17944</v>
      </c>
      <c r="Z63" s="2">
        <v>448637</v>
      </c>
      <c r="AA63" s="2">
        <v>520201</v>
      </c>
      <c r="AB63" s="2">
        <v>726903</v>
      </c>
      <c r="AD63" s="1">
        <v>63</v>
      </c>
      <c r="AE63" s="1">
        <v>67</v>
      </c>
      <c r="AF63" s="1">
        <v>0</v>
      </c>
      <c r="AG63" s="1">
        <v>0</v>
      </c>
      <c r="AH63" s="2">
        <v>13603</v>
      </c>
      <c r="AI63" s="2">
        <v>339941</v>
      </c>
      <c r="AJ63" s="2">
        <v>533042</v>
      </c>
      <c r="AK63" s="2">
        <v>870301</v>
      </c>
    </row>
    <row r="64" spans="1:37" x14ac:dyDescent="0.25">
      <c r="A64" s="3">
        <v>64</v>
      </c>
      <c r="B64" s="3">
        <v>68</v>
      </c>
      <c r="C64" s="3">
        <v>0</v>
      </c>
      <c r="D64" s="3">
        <v>0</v>
      </c>
      <c r="E64" s="4">
        <v>15680</v>
      </c>
      <c r="F64" s="4">
        <v>453076</v>
      </c>
      <c r="G64" s="4">
        <v>589417</v>
      </c>
      <c r="H64" s="4">
        <v>941802</v>
      </c>
      <c r="K64" s="3">
        <v>64</v>
      </c>
      <c r="L64" s="3">
        <v>107</v>
      </c>
      <c r="M64" s="3">
        <v>0</v>
      </c>
      <c r="N64" s="3">
        <v>0</v>
      </c>
      <c r="O64" s="4">
        <v>49985</v>
      </c>
      <c r="P64" s="4">
        <v>877673</v>
      </c>
      <c r="Q64" s="4">
        <v>977673</v>
      </c>
      <c r="R64" s="4">
        <v>977673</v>
      </c>
      <c r="U64" s="3">
        <v>64</v>
      </c>
      <c r="V64" s="3">
        <v>68</v>
      </c>
      <c r="W64" s="3">
        <v>0</v>
      </c>
      <c r="X64" s="3">
        <v>0</v>
      </c>
      <c r="Y64" s="4">
        <v>18910</v>
      </c>
      <c r="Z64" s="4">
        <v>474229</v>
      </c>
      <c r="AA64" s="4">
        <v>546859</v>
      </c>
      <c r="AB64" s="4">
        <v>752939</v>
      </c>
      <c r="AD64" s="3">
        <v>64</v>
      </c>
      <c r="AE64" s="3">
        <v>68</v>
      </c>
      <c r="AF64" s="3">
        <v>0</v>
      </c>
      <c r="AG64" s="3">
        <v>0</v>
      </c>
      <c r="AH64" s="4">
        <v>14351</v>
      </c>
      <c r="AI64" s="4">
        <v>361707</v>
      </c>
      <c r="AJ64" s="4">
        <v>559020</v>
      </c>
      <c r="AK64" s="4">
        <v>893231</v>
      </c>
    </row>
    <row r="65" spans="1:37" x14ac:dyDescent="0.25">
      <c r="A65" s="1">
        <v>65</v>
      </c>
      <c r="B65" s="1">
        <v>69</v>
      </c>
      <c r="C65" s="1">
        <v>0</v>
      </c>
      <c r="D65" s="1">
        <v>0</v>
      </c>
      <c r="E65" s="2">
        <v>16529</v>
      </c>
      <c r="F65" s="2">
        <v>479356</v>
      </c>
      <c r="G65" s="2">
        <v>618633</v>
      </c>
      <c r="H65" s="2">
        <v>967657</v>
      </c>
      <c r="K65" s="1">
        <v>65</v>
      </c>
      <c r="L65" s="1">
        <v>108</v>
      </c>
      <c r="M65" s="1">
        <v>0</v>
      </c>
      <c r="N65" s="1">
        <v>0</v>
      </c>
      <c r="O65" s="2">
        <v>52669</v>
      </c>
      <c r="P65" s="2">
        <v>930342</v>
      </c>
      <c r="Q65" s="2">
        <v>1030342</v>
      </c>
      <c r="R65" s="2">
        <v>1030342</v>
      </c>
      <c r="U65" s="1">
        <v>65</v>
      </c>
      <c r="V65" s="1">
        <v>69</v>
      </c>
      <c r="W65" s="1">
        <v>0</v>
      </c>
      <c r="X65" s="1">
        <v>0</v>
      </c>
      <c r="Y65" s="2">
        <v>19924</v>
      </c>
      <c r="Z65" s="2">
        <v>501121</v>
      </c>
      <c r="AA65" s="2">
        <v>574818</v>
      </c>
      <c r="AB65" s="2">
        <v>779974</v>
      </c>
      <c r="AD65" s="1">
        <v>65</v>
      </c>
      <c r="AE65" s="1">
        <v>69</v>
      </c>
      <c r="AF65" s="1">
        <v>0</v>
      </c>
      <c r="AG65" s="1">
        <v>0</v>
      </c>
      <c r="AH65" s="2">
        <v>15128</v>
      </c>
      <c r="AI65" s="2">
        <v>384619</v>
      </c>
      <c r="AJ65" s="2">
        <v>586179</v>
      </c>
      <c r="AK65" s="2">
        <v>916894</v>
      </c>
    </row>
    <row r="66" spans="1:37" x14ac:dyDescent="0.25">
      <c r="A66" s="3">
        <v>66</v>
      </c>
      <c r="B66" s="3">
        <v>70</v>
      </c>
      <c r="C66" s="3">
        <v>0</v>
      </c>
      <c r="D66" s="3">
        <v>0</v>
      </c>
      <c r="E66" s="4">
        <v>17418</v>
      </c>
      <c r="F66" s="4">
        <v>506942</v>
      </c>
      <c r="G66" s="4">
        <v>649172</v>
      </c>
      <c r="H66" s="4">
        <v>994336</v>
      </c>
      <c r="K66" s="3">
        <v>66</v>
      </c>
      <c r="L66" s="3">
        <v>109</v>
      </c>
      <c r="M66" s="3">
        <v>0</v>
      </c>
      <c r="N66" s="3">
        <v>0</v>
      </c>
      <c r="O66" s="4">
        <v>55497</v>
      </c>
      <c r="P66" s="4">
        <v>985839</v>
      </c>
      <c r="Q66" s="4">
        <v>1085839</v>
      </c>
      <c r="R66" s="4">
        <v>1085839</v>
      </c>
      <c r="U66" s="3">
        <v>66</v>
      </c>
      <c r="V66" s="3">
        <v>70</v>
      </c>
      <c r="W66" s="3">
        <v>0</v>
      </c>
      <c r="X66" s="3">
        <v>0</v>
      </c>
      <c r="Y66" s="4">
        <v>20990</v>
      </c>
      <c r="Z66" s="4">
        <v>529366</v>
      </c>
      <c r="AA66" s="4">
        <v>604130</v>
      </c>
      <c r="AB66" s="4">
        <v>808049</v>
      </c>
      <c r="AD66" s="3">
        <v>66</v>
      </c>
      <c r="AE66" s="3">
        <v>70</v>
      </c>
      <c r="AF66" s="3">
        <v>0</v>
      </c>
      <c r="AG66" s="3">
        <v>0</v>
      </c>
      <c r="AH66" s="4">
        <v>15942</v>
      </c>
      <c r="AI66" s="4">
        <v>408719</v>
      </c>
      <c r="AJ66" s="4">
        <v>614554</v>
      </c>
      <c r="AK66" s="4">
        <v>941311</v>
      </c>
    </row>
    <row r="67" spans="1:37" x14ac:dyDescent="0.25">
      <c r="A67" s="1">
        <v>67</v>
      </c>
      <c r="B67" s="1">
        <v>71</v>
      </c>
      <c r="C67" s="1">
        <v>0</v>
      </c>
      <c r="D67" s="1">
        <v>0</v>
      </c>
      <c r="E67" s="2">
        <v>18360</v>
      </c>
      <c r="F67" s="2">
        <v>535862</v>
      </c>
      <c r="G67" s="2">
        <v>681055</v>
      </c>
      <c r="H67" s="2">
        <v>1021884</v>
      </c>
      <c r="K67" s="1">
        <v>67</v>
      </c>
      <c r="L67" s="1">
        <v>110</v>
      </c>
      <c r="M67" s="1">
        <v>0</v>
      </c>
      <c r="N67" s="1">
        <v>0</v>
      </c>
      <c r="O67" s="2">
        <v>58478</v>
      </c>
      <c r="P67" s="2">
        <v>1044317</v>
      </c>
      <c r="Q67" s="2">
        <v>1144317</v>
      </c>
      <c r="R67" s="2">
        <v>1144317</v>
      </c>
      <c r="U67" s="1">
        <v>67</v>
      </c>
      <c r="V67" s="1">
        <v>71</v>
      </c>
      <c r="W67" s="1">
        <v>0</v>
      </c>
      <c r="X67" s="1">
        <v>0</v>
      </c>
      <c r="Y67" s="2">
        <v>22123</v>
      </c>
      <c r="Z67" s="2">
        <v>559016</v>
      </c>
      <c r="AA67" s="2">
        <v>634843</v>
      </c>
      <c r="AB67" s="2">
        <v>837225</v>
      </c>
      <c r="AD67" s="1">
        <v>67</v>
      </c>
      <c r="AE67" s="1">
        <v>71</v>
      </c>
      <c r="AF67" s="1">
        <v>0</v>
      </c>
      <c r="AG67" s="1">
        <v>0</v>
      </c>
      <c r="AH67" s="2">
        <v>16806</v>
      </c>
      <c r="AI67" s="2">
        <v>434039</v>
      </c>
      <c r="AJ67" s="2">
        <v>644162</v>
      </c>
      <c r="AK67" s="2">
        <v>966528</v>
      </c>
    </row>
    <row r="68" spans="1:37" x14ac:dyDescent="0.25">
      <c r="A68" s="3">
        <v>68</v>
      </c>
      <c r="B68" s="3">
        <v>72</v>
      </c>
      <c r="C68" s="3">
        <v>0</v>
      </c>
      <c r="D68" s="3">
        <v>0</v>
      </c>
      <c r="E68" s="4">
        <v>19369</v>
      </c>
      <c r="F68" s="4">
        <v>566174</v>
      </c>
      <c r="G68" s="4">
        <v>714332</v>
      </c>
      <c r="H68" s="4">
        <v>1050365</v>
      </c>
      <c r="K68" s="3">
        <v>68</v>
      </c>
      <c r="L68" s="3">
        <v>111</v>
      </c>
      <c r="M68" s="3">
        <v>0</v>
      </c>
      <c r="N68" s="3">
        <v>0</v>
      </c>
      <c r="O68" s="4">
        <v>61618</v>
      </c>
      <c r="P68" s="4">
        <v>1105935</v>
      </c>
      <c r="Q68" s="4">
        <v>1205935</v>
      </c>
      <c r="R68" s="4">
        <v>1205935</v>
      </c>
      <c r="U68" s="3">
        <v>68</v>
      </c>
      <c r="V68" s="3">
        <v>72</v>
      </c>
      <c r="W68" s="3">
        <v>0</v>
      </c>
      <c r="X68" s="3">
        <v>0</v>
      </c>
      <c r="Y68" s="4">
        <v>23314</v>
      </c>
      <c r="Z68" s="4">
        <v>590114</v>
      </c>
      <c r="AA68" s="4">
        <v>666997</v>
      </c>
      <c r="AB68" s="4">
        <v>867549</v>
      </c>
      <c r="AD68" s="3">
        <v>68</v>
      </c>
      <c r="AE68" s="3">
        <v>72</v>
      </c>
      <c r="AF68" s="3">
        <v>0</v>
      </c>
      <c r="AG68" s="3">
        <v>0</v>
      </c>
      <c r="AH68" s="4">
        <v>17728</v>
      </c>
      <c r="AI68" s="4">
        <v>460631</v>
      </c>
      <c r="AJ68" s="4">
        <v>675045</v>
      </c>
      <c r="AK68" s="4">
        <v>992596</v>
      </c>
    </row>
    <row r="69" spans="1:37" x14ac:dyDescent="0.25">
      <c r="A69" s="1">
        <v>69</v>
      </c>
      <c r="B69" s="1">
        <v>73</v>
      </c>
      <c r="C69" s="1">
        <v>0</v>
      </c>
      <c r="D69" s="1">
        <v>0</v>
      </c>
      <c r="E69" s="2">
        <v>20441</v>
      </c>
      <c r="F69" s="2">
        <v>597888</v>
      </c>
      <c r="G69" s="2">
        <v>748996</v>
      </c>
      <c r="H69" s="2">
        <v>1079836</v>
      </c>
      <c r="K69" s="1">
        <v>69</v>
      </c>
      <c r="L69" s="1">
        <v>112</v>
      </c>
      <c r="M69" s="1">
        <v>0</v>
      </c>
      <c r="N69" s="1">
        <v>0</v>
      </c>
      <c r="O69" s="2">
        <v>64927</v>
      </c>
      <c r="P69" s="2">
        <v>1170861</v>
      </c>
      <c r="Q69" s="2">
        <v>1270861</v>
      </c>
      <c r="R69" s="2">
        <v>1270861</v>
      </c>
      <c r="U69" s="1">
        <v>69</v>
      </c>
      <c r="V69" s="1">
        <v>73</v>
      </c>
      <c r="W69" s="1">
        <v>0</v>
      </c>
      <c r="X69" s="1">
        <v>0</v>
      </c>
      <c r="Y69" s="2">
        <v>24573</v>
      </c>
      <c r="Z69" s="2">
        <v>622716</v>
      </c>
      <c r="AA69" s="2">
        <v>700645</v>
      </c>
      <c r="AB69" s="2">
        <v>899081</v>
      </c>
      <c r="AD69" s="1">
        <v>69</v>
      </c>
      <c r="AE69" s="1">
        <v>73</v>
      </c>
      <c r="AF69" s="1">
        <v>0</v>
      </c>
      <c r="AG69" s="1">
        <v>0</v>
      </c>
      <c r="AH69" s="2">
        <v>18711</v>
      </c>
      <c r="AI69" s="2">
        <v>488513</v>
      </c>
      <c r="AJ69" s="2">
        <v>707196</v>
      </c>
      <c r="AK69" s="2">
        <v>1019572</v>
      </c>
    </row>
    <row r="70" spans="1:37" x14ac:dyDescent="0.25">
      <c r="A70" s="3">
        <v>70</v>
      </c>
      <c r="B70" s="3">
        <v>74</v>
      </c>
      <c r="C70" s="3">
        <v>0</v>
      </c>
      <c r="D70" s="3">
        <v>0</v>
      </c>
      <c r="E70" s="4">
        <v>21565</v>
      </c>
      <c r="F70" s="4">
        <v>631037</v>
      </c>
      <c r="G70" s="4">
        <v>785073</v>
      </c>
      <c r="H70" s="4">
        <v>1110335</v>
      </c>
      <c r="K70" s="3">
        <v>70</v>
      </c>
      <c r="L70" s="3">
        <v>113</v>
      </c>
      <c r="M70" s="3">
        <v>0</v>
      </c>
      <c r="N70" s="3">
        <v>0</v>
      </c>
      <c r="O70" s="4">
        <v>68413</v>
      </c>
      <c r="P70" s="4">
        <v>1239275</v>
      </c>
      <c r="Q70" s="4">
        <v>1339275</v>
      </c>
      <c r="R70" s="4">
        <v>1339275</v>
      </c>
      <c r="U70" s="3">
        <v>70</v>
      </c>
      <c r="V70" s="3">
        <v>74</v>
      </c>
      <c r="W70" s="3">
        <v>0</v>
      </c>
      <c r="X70" s="3">
        <v>0</v>
      </c>
      <c r="Y70" s="4">
        <v>25896</v>
      </c>
      <c r="Z70" s="4">
        <v>656850</v>
      </c>
      <c r="AA70" s="4">
        <v>735810</v>
      </c>
      <c r="AB70" s="4">
        <v>931877</v>
      </c>
      <c r="AD70" s="3">
        <v>70</v>
      </c>
      <c r="AE70" s="3">
        <v>74</v>
      </c>
      <c r="AF70" s="3">
        <v>0</v>
      </c>
      <c r="AG70" s="3">
        <v>0</v>
      </c>
      <c r="AH70" s="4">
        <v>19739</v>
      </c>
      <c r="AI70" s="4">
        <v>517717</v>
      </c>
      <c r="AJ70" s="4">
        <v>740637</v>
      </c>
      <c r="AK70" s="4">
        <v>1047488</v>
      </c>
    </row>
    <row r="71" spans="1:37" x14ac:dyDescent="0.25">
      <c r="A71" s="1">
        <v>71</v>
      </c>
      <c r="B71" s="1">
        <v>75</v>
      </c>
      <c r="C71" s="1">
        <v>0</v>
      </c>
      <c r="D71" s="1">
        <v>0</v>
      </c>
      <c r="E71" s="2">
        <v>22739</v>
      </c>
      <c r="F71" s="2">
        <v>665646</v>
      </c>
      <c r="G71" s="2">
        <v>822580</v>
      </c>
      <c r="H71" s="2">
        <v>1141901</v>
      </c>
      <c r="K71" s="1">
        <v>71</v>
      </c>
      <c r="L71" s="1">
        <v>114</v>
      </c>
      <c r="M71" s="1">
        <v>0</v>
      </c>
      <c r="N71" s="1">
        <v>0</v>
      </c>
      <c r="O71" s="2">
        <v>72087</v>
      </c>
      <c r="P71" s="2">
        <v>1311362</v>
      </c>
      <c r="Q71" s="2">
        <v>1411362</v>
      </c>
      <c r="R71" s="2">
        <v>1411362</v>
      </c>
      <c r="U71" s="1">
        <v>71</v>
      </c>
      <c r="V71" s="1">
        <v>75</v>
      </c>
      <c r="W71" s="1">
        <v>0</v>
      </c>
      <c r="X71" s="1">
        <v>0</v>
      </c>
      <c r="Y71" s="2">
        <v>27284</v>
      </c>
      <c r="Z71" s="2">
        <v>692570</v>
      </c>
      <c r="AA71" s="2">
        <v>772544</v>
      </c>
      <c r="AB71" s="2">
        <v>965994</v>
      </c>
      <c r="AD71" s="1">
        <v>71</v>
      </c>
      <c r="AE71" s="1">
        <v>75</v>
      </c>
      <c r="AF71" s="1">
        <v>0</v>
      </c>
      <c r="AG71" s="1">
        <v>0</v>
      </c>
      <c r="AH71" s="2">
        <v>20813</v>
      </c>
      <c r="AI71" s="2">
        <v>548268</v>
      </c>
      <c r="AJ71" s="2">
        <v>775381</v>
      </c>
      <c r="AK71" s="2">
        <v>1076380</v>
      </c>
    </row>
    <row r="72" spans="1:37" x14ac:dyDescent="0.25">
      <c r="A72" s="3">
        <v>72</v>
      </c>
      <c r="B72" s="3">
        <v>76</v>
      </c>
      <c r="C72" s="3">
        <v>0</v>
      </c>
      <c r="D72" s="3">
        <v>0</v>
      </c>
      <c r="E72" s="4">
        <v>23934</v>
      </c>
      <c r="F72" s="4">
        <v>701732</v>
      </c>
      <c r="G72" s="4">
        <v>861530</v>
      </c>
      <c r="H72" s="4">
        <v>1174531</v>
      </c>
      <c r="K72" s="3">
        <v>72</v>
      </c>
      <c r="L72" s="3">
        <v>115</v>
      </c>
      <c r="M72" s="3">
        <v>0</v>
      </c>
      <c r="N72" s="3">
        <v>0</v>
      </c>
      <c r="O72" s="4">
        <v>75958</v>
      </c>
      <c r="P72" s="4">
        <v>1387320</v>
      </c>
      <c r="Q72" s="4">
        <v>1487320</v>
      </c>
      <c r="R72" s="4">
        <v>1487320</v>
      </c>
      <c r="U72" s="3">
        <v>72</v>
      </c>
      <c r="V72" s="3">
        <v>76</v>
      </c>
      <c r="W72" s="3">
        <v>0</v>
      </c>
      <c r="X72" s="3">
        <v>0</v>
      </c>
      <c r="Y72" s="4">
        <v>28716</v>
      </c>
      <c r="Z72" s="4">
        <v>729929</v>
      </c>
      <c r="AA72" s="4">
        <v>810901</v>
      </c>
      <c r="AB72" s="4">
        <v>1001458</v>
      </c>
      <c r="AD72" s="3">
        <v>72</v>
      </c>
      <c r="AE72" s="3">
        <v>76</v>
      </c>
      <c r="AF72" s="3">
        <v>0</v>
      </c>
      <c r="AG72" s="3">
        <v>0</v>
      </c>
      <c r="AH72" s="4">
        <v>21906</v>
      </c>
      <c r="AI72" s="4">
        <v>580183</v>
      </c>
      <c r="AJ72" s="4">
        <v>811442</v>
      </c>
      <c r="AK72" s="4">
        <v>1106245</v>
      </c>
    </row>
    <row r="73" spans="1:37" x14ac:dyDescent="0.25">
      <c r="A73" s="1">
        <v>73</v>
      </c>
      <c r="B73" s="1">
        <v>77</v>
      </c>
      <c r="C73" s="1">
        <v>0</v>
      </c>
      <c r="D73" s="1">
        <v>0</v>
      </c>
      <c r="E73" s="2">
        <v>25173</v>
      </c>
      <c r="F73" s="2">
        <v>739351</v>
      </c>
      <c r="G73" s="2">
        <v>901984</v>
      </c>
      <c r="H73" s="2">
        <v>1208251</v>
      </c>
      <c r="K73" s="1">
        <v>73</v>
      </c>
      <c r="L73" s="1">
        <v>116</v>
      </c>
      <c r="M73" s="1">
        <v>0</v>
      </c>
      <c r="N73" s="1">
        <v>0</v>
      </c>
      <c r="O73" s="2">
        <v>80037</v>
      </c>
      <c r="P73" s="2">
        <v>1467357</v>
      </c>
      <c r="Q73" s="2">
        <v>1567357</v>
      </c>
      <c r="R73" s="2">
        <v>1567357</v>
      </c>
      <c r="U73" s="1">
        <v>73</v>
      </c>
      <c r="V73" s="1">
        <v>77</v>
      </c>
      <c r="W73" s="1">
        <v>0</v>
      </c>
      <c r="X73" s="1">
        <v>0</v>
      </c>
      <c r="Y73" s="2">
        <v>30200</v>
      </c>
      <c r="Z73" s="2">
        <v>768972</v>
      </c>
      <c r="AA73" s="2">
        <v>850925</v>
      </c>
      <c r="AB73" s="2">
        <v>1038308</v>
      </c>
      <c r="AD73" s="1">
        <v>73</v>
      </c>
      <c r="AE73" s="1">
        <v>77</v>
      </c>
      <c r="AF73" s="1">
        <v>0</v>
      </c>
      <c r="AG73" s="1">
        <v>0</v>
      </c>
      <c r="AH73" s="2">
        <v>23037</v>
      </c>
      <c r="AI73" s="2">
        <v>613511</v>
      </c>
      <c r="AJ73" s="2">
        <v>848872</v>
      </c>
      <c r="AK73" s="2">
        <v>1137105</v>
      </c>
    </row>
    <row r="74" spans="1:37" x14ac:dyDescent="0.25">
      <c r="A74" s="3">
        <v>74</v>
      </c>
      <c r="B74" s="3">
        <v>78</v>
      </c>
      <c r="C74" s="3">
        <v>0</v>
      </c>
      <c r="D74" s="3">
        <v>0</v>
      </c>
      <c r="E74" s="4">
        <v>26406</v>
      </c>
      <c r="F74" s="4">
        <v>778524</v>
      </c>
      <c r="G74" s="4">
        <v>943964</v>
      </c>
      <c r="H74" s="4">
        <v>1243023</v>
      </c>
      <c r="K74" s="3">
        <v>74</v>
      </c>
      <c r="L74" s="3">
        <v>117</v>
      </c>
      <c r="M74" s="3">
        <v>0</v>
      </c>
      <c r="N74" s="3">
        <v>0</v>
      </c>
      <c r="O74" s="4">
        <v>84335</v>
      </c>
      <c r="P74" s="4">
        <v>1551692</v>
      </c>
      <c r="Q74" s="4">
        <v>1651692</v>
      </c>
      <c r="R74" s="4">
        <v>1651692</v>
      </c>
      <c r="U74" s="3">
        <v>74</v>
      </c>
      <c r="V74" s="3">
        <v>78</v>
      </c>
      <c r="W74" s="3">
        <v>0</v>
      </c>
      <c r="X74" s="3">
        <v>0</v>
      </c>
      <c r="Y74" s="4">
        <v>31733</v>
      </c>
      <c r="Z74" s="4">
        <v>809769</v>
      </c>
      <c r="AA74" s="4">
        <v>892688</v>
      </c>
      <c r="AB74" s="4">
        <v>1076578</v>
      </c>
      <c r="AD74" s="3">
        <v>74</v>
      </c>
      <c r="AE74" s="3">
        <v>78</v>
      </c>
      <c r="AF74" s="3">
        <v>0</v>
      </c>
      <c r="AG74" s="3">
        <v>0</v>
      </c>
      <c r="AH74" s="4">
        <v>24164</v>
      </c>
      <c r="AI74" s="4">
        <v>648269</v>
      </c>
      <c r="AJ74" s="4">
        <v>887693</v>
      </c>
      <c r="AK74" s="4">
        <v>1168925</v>
      </c>
    </row>
    <row r="75" spans="1:37" x14ac:dyDescent="0.25">
      <c r="A75" s="1">
        <v>75</v>
      </c>
      <c r="B75" s="1">
        <v>79</v>
      </c>
      <c r="C75" s="1">
        <v>0</v>
      </c>
      <c r="D75" s="1">
        <v>0</v>
      </c>
      <c r="E75" s="2">
        <v>27655</v>
      </c>
      <c r="F75" s="2">
        <v>819270</v>
      </c>
      <c r="G75" s="2">
        <v>987493</v>
      </c>
      <c r="H75" s="2">
        <v>1278837</v>
      </c>
      <c r="K75" s="1">
        <v>75</v>
      </c>
      <c r="L75" s="1">
        <v>118</v>
      </c>
      <c r="M75" s="1">
        <v>0</v>
      </c>
      <c r="N75" s="1">
        <v>0</v>
      </c>
      <c r="O75" s="2">
        <v>88864</v>
      </c>
      <c r="P75" s="2">
        <v>1640556</v>
      </c>
      <c r="Q75" s="2">
        <v>1740556</v>
      </c>
      <c r="R75" s="2">
        <v>1740556</v>
      </c>
      <c r="U75" s="1">
        <v>75</v>
      </c>
      <c r="V75" s="1">
        <v>79</v>
      </c>
      <c r="W75" s="1">
        <v>0</v>
      </c>
      <c r="X75" s="1">
        <v>0</v>
      </c>
      <c r="Y75" s="2">
        <v>33320</v>
      </c>
      <c r="Z75" s="2">
        <v>852386</v>
      </c>
      <c r="AA75" s="2">
        <v>936257</v>
      </c>
      <c r="AB75" s="2">
        <v>1116306</v>
      </c>
      <c r="AD75" s="1">
        <v>75</v>
      </c>
      <c r="AE75" s="1">
        <v>79</v>
      </c>
      <c r="AF75" s="1">
        <v>0</v>
      </c>
      <c r="AG75" s="1">
        <v>0</v>
      </c>
      <c r="AH75" s="2">
        <v>25304</v>
      </c>
      <c r="AI75" s="2">
        <v>684473</v>
      </c>
      <c r="AJ75" s="2">
        <v>927924</v>
      </c>
      <c r="AK75" s="2">
        <v>1201694</v>
      </c>
    </row>
    <row r="76" spans="1:37" x14ac:dyDescent="0.25">
      <c r="A76" s="3">
        <v>76</v>
      </c>
      <c r="B76" s="3">
        <v>80</v>
      </c>
      <c r="C76" s="3">
        <v>0</v>
      </c>
      <c r="D76" s="3">
        <v>0</v>
      </c>
      <c r="E76" s="4">
        <v>28931</v>
      </c>
      <c r="F76" s="4">
        <v>861602</v>
      </c>
      <c r="G76" s="4">
        <v>1032576</v>
      </c>
      <c r="H76" s="4">
        <v>1315702</v>
      </c>
      <c r="K76" s="3">
        <v>76</v>
      </c>
      <c r="L76" s="3">
        <v>119</v>
      </c>
      <c r="M76" s="3">
        <v>0</v>
      </c>
      <c r="N76" s="3">
        <v>0</v>
      </c>
      <c r="O76" s="4">
        <v>93636</v>
      </c>
      <c r="P76" s="4">
        <v>1734192</v>
      </c>
      <c r="Q76" s="4">
        <v>1834192</v>
      </c>
      <c r="R76" s="4">
        <v>1834192</v>
      </c>
      <c r="U76" s="3">
        <v>76</v>
      </c>
      <c r="V76" s="3">
        <v>80</v>
      </c>
      <c r="W76" s="3">
        <v>0</v>
      </c>
      <c r="X76" s="3">
        <v>0</v>
      </c>
      <c r="Y76" s="4">
        <v>34938</v>
      </c>
      <c r="Z76" s="4">
        <v>896847</v>
      </c>
      <c r="AA76" s="4">
        <v>981655</v>
      </c>
      <c r="AB76" s="4">
        <v>1157503</v>
      </c>
      <c r="AD76" s="3">
        <v>76</v>
      </c>
      <c r="AE76" s="3">
        <v>80</v>
      </c>
      <c r="AF76" s="3">
        <v>0</v>
      </c>
      <c r="AG76" s="3">
        <v>0</v>
      </c>
      <c r="AH76" s="4">
        <v>26465</v>
      </c>
      <c r="AI76" s="4">
        <v>722134</v>
      </c>
      <c r="AJ76" s="4">
        <v>969566</v>
      </c>
      <c r="AK76" s="4">
        <v>1235415</v>
      </c>
    </row>
    <row r="77" spans="1:37" x14ac:dyDescent="0.25">
      <c r="A77" s="1">
        <v>77</v>
      </c>
      <c r="B77" s="1">
        <v>81</v>
      </c>
      <c r="C77" s="1">
        <v>0</v>
      </c>
      <c r="D77" s="1">
        <v>0</v>
      </c>
      <c r="E77" s="2">
        <v>30245</v>
      </c>
      <c r="F77" s="2">
        <v>905526</v>
      </c>
      <c r="G77" s="2">
        <v>1079214</v>
      </c>
      <c r="H77" s="2">
        <v>1353637</v>
      </c>
      <c r="K77" s="1">
        <v>77</v>
      </c>
      <c r="L77" s="1">
        <v>120</v>
      </c>
      <c r="M77" s="1">
        <v>0</v>
      </c>
      <c r="N77" s="1">
        <v>0</v>
      </c>
      <c r="O77" s="2">
        <v>98664</v>
      </c>
      <c r="P77" s="2">
        <v>1832856</v>
      </c>
      <c r="Q77" s="2">
        <v>1932856</v>
      </c>
      <c r="R77" s="2">
        <v>1932856</v>
      </c>
      <c r="U77" s="1">
        <v>77</v>
      </c>
      <c r="V77" s="1">
        <v>81</v>
      </c>
      <c r="W77" s="1">
        <v>0</v>
      </c>
      <c r="X77" s="1">
        <v>0</v>
      </c>
      <c r="Y77" s="2">
        <v>36630</v>
      </c>
      <c r="Z77" s="2">
        <v>943185</v>
      </c>
      <c r="AA77" s="2">
        <v>1028911</v>
      </c>
      <c r="AB77" s="2">
        <v>1200232</v>
      </c>
      <c r="AD77" s="1">
        <v>77</v>
      </c>
      <c r="AE77" s="1">
        <v>81</v>
      </c>
      <c r="AF77" s="1">
        <v>0</v>
      </c>
      <c r="AG77" s="1">
        <v>0</v>
      </c>
      <c r="AH77" s="2">
        <v>27663</v>
      </c>
      <c r="AI77" s="2">
        <v>761261</v>
      </c>
      <c r="AJ77" s="2">
        <v>1012622</v>
      </c>
      <c r="AK77" s="2">
        <v>1270112</v>
      </c>
    </row>
    <row r="78" spans="1:37" x14ac:dyDescent="0.25">
      <c r="A78" s="3">
        <v>78</v>
      </c>
      <c r="B78" s="3">
        <v>82</v>
      </c>
      <c r="C78" s="3">
        <v>0</v>
      </c>
      <c r="D78" s="3">
        <v>0</v>
      </c>
      <c r="E78" s="4">
        <v>31587</v>
      </c>
      <c r="F78" s="4">
        <v>951026</v>
      </c>
      <c r="G78" s="4">
        <v>1127384</v>
      </c>
      <c r="H78" s="4">
        <v>1392657</v>
      </c>
      <c r="K78" s="3">
        <v>78</v>
      </c>
      <c r="L78" s="3">
        <v>121</v>
      </c>
      <c r="M78" s="3">
        <v>0</v>
      </c>
      <c r="N78" s="3">
        <v>0</v>
      </c>
      <c r="O78" s="4">
        <v>103962</v>
      </c>
      <c r="P78" s="4">
        <v>1936818</v>
      </c>
      <c r="Q78" s="4">
        <v>2036818</v>
      </c>
      <c r="R78" s="4">
        <v>2036818</v>
      </c>
      <c r="U78" s="3">
        <v>78</v>
      </c>
      <c r="V78" s="3">
        <v>82</v>
      </c>
      <c r="W78" s="3">
        <v>0</v>
      </c>
      <c r="X78" s="3">
        <v>0</v>
      </c>
      <c r="Y78" s="4">
        <v>38374</v>
      </c>
      <c r="Z78" s="4">
        <v>991440</v>
      </c>
      <c r="AA78" s="4">
        <v>1078064</v>
      </c>
      <c r="AB78" s="4">
        <v>1244532</v>
      </c>
      <c r="AD78" s="3">
        <v>78</v>
      </c>
      <c r="AE78" s="3">
        <v>82</v>
      </c>
      <c r="AF78" s="3">
        <v>0</v>
      </c>
      <c r="AG78" s="3">
        <v>0</v>
      </c>
      <c r="AH78" s="4">
        <v>28882</v>
      </c>
      <c r="AI78" s="4">
        <v>801840</v>
      </c>
      <c r="AJ78" s="4">
        <v>1057063</v>
      </c>
      <c r="AK78" s="4">
        <v>1305790</v>
      </c>
    </row>
    <row r="79" spans="1:37" ht="15.75" thickBot="1" x14ac:dyDescent="0.3">
      <c r="A79" s="1">
        <v>79</v>
      </c>
      <c r="B79" s="1">
        <v>83</v>
      </c>
      <c r="C79" s="1">
        <v>0</v>
      </c>
      <c r="D79" s="1">
        <v>0</v>
      </c>
      <c r="E79" s="2">
        <v>32901</v>
      </c>
      <c r="F79" s="2">
        <v>998072</v>
      </c>
      <c r="G79" s="2">
        <v>1177053</v>
      </c>
      <c r="H79" s="2">
        <v>1432704</v>
      </c>
      <c r="K79" s="5" t="s">
        <v>0</v>
      </c>
      <c r="U79" s="1">
        <v>79</v>
      </c>
      <c r="V79" s="1">
        <v>83</v>
      </c>
      <c r="W79" s="1">
        <v>0</v>
      </c>
      <c r="X79" s="1">
        <v>0</v>
      </c>
      <c r="Y79" s="2">
        <v>40161</v>
      </c>
      <c r="Z79" s="2">
        <v>1041650</v>
      </c>
      <c r="AA79" s="2">
        <v>1129152</v>
      </c>
      <c r="AB79" s="2">
        <v>1290430</v>
      </c>
      <c r="AD79" s="1">
        <v>79</v>
      </c>
      <c r="AE79" s="1">
        <v>83</v>
      </c>
      <c r="AF79" s="1">
        <v>0</v>
      </c>
      <c r="AG79" s="1">
        <v>0</v>
      </c>
      <c r="AH79" s="2">
        <v>30076</v>
      </c>
      <c r="AI79" s="2">
        <v>843842</v>
      </c>
      <c r="AJ79" s="2">
        <v>1102861</v>
      </c>
      <c r="AK79" s="2">
        <v>1342399</v>
      </c>
    </row>
    <row r="80" spans="1:37" x14ac:dyDescent="0.25">
      <c r="A80" s="3">
        <v>80</v>
      </c>
      <c r="B80" s="3">
        <v>84</v>
      </c>
      <c r="C80" s="3">
        <v>0</v>
      </c>
      <c r="D80" s="3">
        <v>0</v>
      </c>
      <c r="E80" s="4">
        <v>34422</v>
      </c>
      <c r="F80" s="4">
        <v>1046671</v>
      </c>
      <c r="G80" s="4">
        <v>1228194</v>
      </c>
      <c r="H80" s="4">
        <v>1474016</v>
      </c>
      <c r="K80" s="6"/>
      <c r="U80" s="3">
        <v>80</v>
      </c>
      <c r="V80" s="3">
        <v>84</v>
      </c>
      <c r="W80" s="3">
        <v>0</v>
      </c>
      <c r="X80" s="3">
        <v>0</v>
      </c>
      <c r="Y80" s="4">
        <v>42104</v>
      </c>
      <c r="Z80" s="4">
        <v>1093836</v>
      </c>
      <c r="AA80" s="4">
        <v>1182185</v>
      </c>
      <c r="AB80" s="4">
        <v>1338086</v>
      </c>
      <c r="AD80" s="3">
        <v>80</v>
      </c>
      <c r="AE80" s="3">
        <v>84</v>
      </c>
      <c r="AF80" s="3">
        <v>0</v>
      </c>
      <c r="AG80" s="3">
        <v>0</v>
      </c>
      <c r="AH80" s="4">
        <v>31454</v>
      </c>
      <c r="AI80" s="4">
        <v>887282</v>
      </c>
      <c r="AJ80" s="4">
        <v>1149981</v>
      </c>
      <c r="AK80" s="4">
        <v>1380148</v>
      </c>
    </row>
    <row r="81" spans="1:37" x14ac:dyDescent="0.25">
      <c r="A81" s="1">
        <v>81</v>
      </c>
      <c r="B81" s="1">
        <v>85</v>
      </c>
      <c r="C81" s="1">
        <v>0</v>
      </c>
      <c r="D81" s="1">
        <v>0</v>
      </c>
      <c r="E81" s="2">
        <v>35974</v>
      </c>
      <c r="F81" s="2">
        <v>1096790</v>
      </c>
      <c r="G81" s="2">
        <v>1280766</v>
      </c>
      <c r="H81" s="2">
        <v>1516614</v>
      </c>
      <c r="U81" s="1">
        <v>81</v>
      </c>
      <c r="V81" s="1">
        <v>85</v>
      </c>
      <c r="W81" s="1">
        <v>0</v>
      </c>
      <c r="X81" s="1">
        <v>0</v>
      </c>
      <c r="Y81" s="2">
        <v>44112</v>
      </c>
      <c r="Z81" s="2">
        <v>1148014</v>
      </c>
      <c r="AA81" s="2">
        <v>1237176</v>
      </c>
      <c r="AB81" s="2">
        <v>1387559</v>
      </c>
      <c r="AD81" s="1">
        <v>81</v>
      </c>
      <c r="AE81" s="1">
        <v>85</v>
      </c>
      <c r="AF81" s="1">
        <v>0</v>
      </c>
      <c r="AG81" s="1">
        <v>0</v>
      </c>
      <c r="AH81" s="2">
        <v>32863</v>
      </c>
      <c r="AI81" s="2">
        <v>932135</v>
      </c>
      <c r="AJ81" s="2">
        <v>1198384</v>
      </c>
      <c r="AK81" s="2">
        <v>1419062</v>
      </c>
    </row>
    <row r="82" spans="1:37" x14ac:dyDescent="0.25">
      <c r="A82" s="3">
        <v>82</v>
      </c>
      <c r="B82" s="3">
        <v>86</v>
      </c>
      <c r="C82" s="3">
        <v>0</v>
      </c>
      <c r="D82" s="3">
        <v>0</v>
      </c>
      <c r="E82" s="4">
        <v>37561</v>
      </c>
      <c r="F82" s="4">
        <v>1148326</v>
      </c>
      <c r="G82" s="4">
        <v>1334645</v>
      </c>
      <c r="H82" s="4">
        <v>1560532</v>
      </c>
      <c r="U82" s="3">
        <v>82</v>
      </c>
      <c r="V82" s="3">
        <v>86</v>
      </c>
      <c r="W82" s="3">
        <v>0</v>
      </c>
      <c r="X82" s="3">
        <v>0</v>
      </c>
      <c r="Y82" s="4">
        <v>46169</v>
      </c>
      <c r="Z82" s="4">
        <v>1204149</v>
      </c>
      <c r="AA82" s="4">
        <v>1294085</v>
      </c>
      <c r="AB82" s="4">
        <v>1438895</v>
      </c>
      <c r="AD82" s="3">
        <v>82</v>
      </c>
      <c r="AE82" s="3">
        <v>86</v>
      </c>
      <c r="AF82" s="3">
        <v>0</v>
      </c>
      <c r="AG82" s="3">
        <v>0</v>
      </c>
      <c r="AH82" s="4">
        <v>34300</v>
      </c>
      <c r="AI82" s="4">
        <v>978312</v>
      </c>
      <c r="AJ82" s="4">
        <v>1247953</v>
      </c>
      <c r="AK82" s="4">
        <v>1459167</v>
      </c>
    </row>
    <row r="83" spans="1:37" x14ac:dyDescent="0.25">
      <c r="A83" s="1">
        <v>83</v>
      </c>
      <c r="B83" s="1">
        <v>87</v>
      </c>
      <c r="C83" s="1">
        <v>0</v>
      </c>
      <c r="D83" s="1">
        <v>0</v>
      </c>
      <c r="E83" s="2">
        <v>39141</v>
      </c>
      <c r="F83" s="2">
        <v>1201148</v>
      </c>
      <c r="G83" s="2">
        <v>1389688</v>
      </c>
      <c r="H83" s="2">
        <v>1605759</v>
      </c>
      <c r="U83" s="1">
        <v>83</v>
      </c>
      <c r="V83" s="1">
        <v>87</v>
      </c>
      <c r="W83" s="1">
        <v>0</v>
      </c>
      <c r="X83" s="1">
        <v>0</v>
      </c>
      <c r="Y83" s="2">
        <v>48305</v>
      </c>
      <c r="Z83" s="2">
        <v>1262214</v>
      </c>
      <c r="AA83" s="2">
        <v>1352879</v>
      </c>
      <c r="AB83" s="2">
        <v>1492173</v>
      </c>
      <c r="AD83" s="1">
        <v>83</v>
      </c>
      <c r="AE83" s="1">
        <v>87</v>
      </c>
      <c r="AF83" s="1">
        <v>0</v>
      </c>
      <c r="AG83" s="1">
        <v>0</v>
      </c>
      <c r="AH83" s="2">
        <v>35727</v>
      </c>
      <c r="AI83" s="2">
        <v>1025695</v>
      </c>
      <c r="AJ83" s="2">
        <v>1298549</v>
      </c>
      <c r="AK83" s="2">
        <v>1500450</v>
      </c>
    </row>
    <row r="84" spans="1:37" x14ac:dyDescent="0.25">
      <c r="A84" s="3">
        <v>84</v>
      </c>
      <c r="B84" s="3">
        <v>88</v>
      </c>
      <c r="C84" s="3">
        <v>0</v>
      </c>
      <c r="D84" s="3">
        <v>0</v>
      </c>
      <c r="E84" s="4">
        <v>40660</v>
      </c>
      <c r="F84" s="4">
        <v>1255077</v>
      </c>
      <c r="G84" s="4">
        <v>1445699</v>
      </c>
      <c r="H84" s="4">
        <v>1652227</v>
      </c>
      <c r="U84" s="3">
        <v>84</v>
      </c>
      <c r="V84" s="3">
        <v>88</v>
      </c>
      <c r="W84" s="3">
        <v>0</v>
      </c>
      <c r="X84" s="3">
        <v>0</v>
      </c>
      <c r="Y84" s="4">
        <v>50419</v>
      </c>
      <c r="Z84" s="4">
        <v>1322128</v>
      </c>
      <c r="AA84" s="4">
        <v>1413475</v>
      </c>
      <c r="AB84" s="4">
        <v>1547369</v>
      </c>
      <c r="AD84" s="3">
        <v>84</v>
      </c>
      <c r="AE84" s="3">
        <v>88</v>
      </c>
      <c r="AF84" s="3">
        <v>0</v>
      </c>
      <c r="AG84" s="3">
        <v>0</v>
      </c>
      <c r="AH84" s="4">
        <v>37095</v>
      </c>
      <c r="AI84" s="4">
        <v>1074120</v>
      </c>
      <c r="AJ84" s="4">
        <v>1349988</v>
      </c>
      <c r="AK84" s="4">
        <v>1542843</v>
      </c>
    </row>
    <row r="85" spans="1:37" x14ac:dyDescent="0.25">
      <c r="A85" s="1">
        <v>85</v>
      </c>
      <c r="B85" s="1">
        <v>89</v>
      </c>
      <c r="C85" s="1">
        <v>0</v>
      </c>
      <c r="D85" s="1">
        <v>0</v>
      </c>
      <c r="E85" s="2">
        <v>42140</v>
      </c>
      <c r="F85" s="2">
        <v>1309940</v>
      </c>
      <c r="G85" s="2">
        <v>1502494</v>
      </c>
      <c r="H85" s="2">
        <v>1699904</v>
      </c>
      <c r="U85" s="1">
        <v>85</v>
      </c>
      <c r="V85" s="1">
        <v>89</v>
      </c>
      <c r="W85" s="1">
        <v>0</v>
      </c>
      <c r="X85" s="1">
        <v>0</v>
      </c>
      <c r="Y85" s="2">
        <v>52545</v>
      </c>
      <c r="Z85" s="2">
        <v>1383820</v>
      </c>
      <c r="AA85" s="2">
        <v>1475799</v>
      </c>
      <c r="AB85" s="2">
        <v>1604496</v>
      </c>
      <c r="AD85" s="1">
        <v>85</v>
      </c>
      <c r="AE85" s="1">
        <v>89</v>
      </c>
      <c r="AF85" s="1">
        <v>0</v>
      </c>
      <c r="AG85" s="1">
        <v>0</v>
      </c>
      <c r="AH85" s="2">
        <v>38419</v>
      </c>
      <c r="AI85" s="2">
        <v>1123428</v>
      </c>
      <c r="AJ85" s="2">
        <v>1402092</v>
      </c>
      <c r="AK85" s="2">
        <v>1586310</v>
      </c>
    </row>
    <row r="86" spans="1:37" x14ac:dyDescent="0.25">
      <c r="A86" s="3">
        <v>86</v>
      </c>
      <c r="B86" s="3">
        <v>90</v>
      </c>
      <c r="C86" s="3">
        <v>0</v>
      </c>
      <c r="D86" s="3">
        <v>0</v>
      </c>
      <c r="E86" s="4">
        <v>43503</v>
      </c>
      <c r="F86" s="4">
        <v>1365639</v>
      </c>
      <c r="G86" s="4">
        <v>1559987</v>
      </c>
      <c r="H86" s="4">
        <v>1748668</v>
      </c>
      <c r="U86" s="3">
        <v>86</v>
      </c>
      <c r="V86" s="3">
        <v>90</v>
      </c>
      <c r="W86" s="3">
        <v>0</v>
      </c>
      <c r="X86" s="3">
        <v>0</v>
      </c>
      <c r="Y86" s="4">
        <v>54642</v>
      </c>
      <c r="Z86" s="4">
        <v>1447233</v>
      </c>
      <c r="AA86" s="4">
        <v>1539795</v>
      </c>
      <c r="AB86" s="4">
        <v>1663528</v>
      </c>
      <c r="AD86" s="3">
        <v>86</v>
      </c>
      <c r="AE86" s="3">
        <v>90</v>
      </c>
      <c r="AF86" s="3">
        <v>0</v>
      </c>
      <c r="AG86" s="3">
        <v>0</v>
      </c>
      <c r="AH86" s="4">
        <v>39631</v>
      </c>
      <c r="AI86" s="4">
        <v>1173520</v>
      </c>
      <c r="AJ86" s="4">
        <v>1454779</v>
      </c>
      <c r="AK86" s="4">
        <v>1630735</v>
      </c>
    </row>
    <row r="87" spans="1:37" x14ac:dyDescent="0.25">
      <c r="A87" s="1">
        <v>87</v>
      </c>
      <c r="B87" s="1">
        <v>91</v>
      </c>
      <c r="C87" s="1">
        <v>0</v>
      </c>
      <c r="D87" s="1">
        <v>0</v>
      </c>
      <c r="E87" s="2">
        <v>44780</v>
      </c>
      <c r="F87" s="2">
        <v>1422084</v>
      </c>
      <c r="G87" s="2">
        <v>1618092</v>
      </c>
      <c r="H87" s="2">
        <v>1798439</v>
      </c>
      <c r="U87" s="1">
        <v>87</v>
      </c>
      <c r="V87" s="1">
        <v>91</v>
      </c>
      <c r="W87" s="1">
        <v>0</v>
      </c>
      <c r="X87" s="1">
        <v>0</v>
      </c>
      <c r="Y87" s="2">
        <v>56764</v>
      </c>
      <c r="Z87" s="2">
        <v>1512440</v>
      </c>
      <c r="AA87" s="2">
        <v>1605542</v>
      </c>
      <c r="AB87" s="2">
        <v>1724498</v>
      </c>
      <c r="AD87" s="1">
        <v>87</v>
      </c>
      <c r="AE87" s="1">
        <v>91</v>
      </c>
      <c r="AF87" s="1">
        <v>0</v>
      </c>
      <c r="AG87" s="1">
        <v>0</v>
      </c>
      <c r="AH87" s="2">
        <v>40763</v>
      </c>
      <c r="AI87" s="2">
        <v>1224306</v>
      </c>
      <c r="AJ87" s="2">
        <v>1507967</v>
      </c>
      <c r="AK87" s="2">
        <v>1676041</v>
      </c>
    </row>
    <row r="88" spans="1:37" x14ac:dyDescent="0.25">
      <c r="A88" s="3">
        <v>88</v>
      </c>
      <c r="B88" s="3">
        <v>92</v>
      </c>
      <c r="C88" s="3">
        <v>0</v>
      </c>
      <c r="D88" s="3">
        <v>0</v>
      </c>
      <c r="E88" s="4">
        <v>46003</v>
      </c>
      <c r="F88" s="4">
        <v>1479405</v>
      </c>
      <c r="G88" s="4">
        <v>1676972</v>
      </c>
      <c r="H88" s="4">
        <v>1849167</v>
      </c>
      <c r="U88" s="3">
        <v>88</v>
      </c>
      <c r="V88" s="3">
        <v>92</v>
      </c>
      <c r="W88" s="3">
        <v>0</v>
      </c>
      <c r="X88" s="3">
        <v>0</v>
      </c>
      <c r="Y88" s="4">
        <v>58841</v>
      </c>
      <c r="Z88" s="4">
        <v>1579484</v>
      </c>
      <c r="AA88" s="4">
        <v>1673091</v>
      </c>
      <c r="AB88" s="4">
        <v>1787357</v>
      </c>
      <c r="AD88" s="3">
        <v>88</v>
      </c>
      <c r="AE88" s="3">
        <v>92</v>
      </c>
      <c r="AF88" s="3">
        <v>0</v>
      </c>
      <c r="AG88" s="3">
        <v>0</v>
      </c>
      <c r="AH88" s="4">
        <v>41848</v>
      </c>
      <c r="AI88" s="4">
        <v>1275897</v>
      </c>
      <c r="AJ88" s="4">
        <v>1561816</v>
      </c>
      <c r="AK88" s="4">
        <v>1722185</v>
      </c>
    </row>
    <row r="89" spans="1:37" x14ac:dyDescent="0.25">
      <c r="A89" s="1">
        <v>89</v>
      </c>
      <c r="B89" s="1">
        <v>93</v>
      </c>
      <c r="C89" s="1">
        <v>0</v>
      </c>
      <c r="D89" s="1">
        <v>0</v>
      </c>
      <c r="E89" s="2">
        <v>47163</v>
      </c>
      <c r="F89" s="2">
        <v>1537824</v>
      </c>
      <c r="G89" s="2">
        <v>1736895</v>
      </c>
      <c r="H89" s="2">
        <v>1900780</v>
      </c>
      <c r="U89" s="1">
        <v>89</v>
      </c>
      <c r="V89" s="1">
        <v>93</v>
      </c>
      <c r="W89" s="1">
        <v>0</v>
      </c>
      <c r="X89" s="1">
        <v>0</v>
      </c>
      <c r="Y89" s="2">
        <v>60982</v>
      </c>
      <c r="Z89" s="2">
        <v>1648684</v>
      </c>
      <c r="AA89" s="2">
        <v>1742778</v>
      </c>
      <c r="AB89" s="2">
        <v>1852167</v>
      </c>
      <c r="AD89" s="1">
        <v>89</v>
      </c>
      <c r="AE89" s="1">
        <v>93</v>
      </c>
      <c r="AF89" s="1">
        <v>0</v>
      </c>
      <c r="AG89" s="1">
        <v>0</v>
      </c>
      <c r="AH89" s="2">
        <v>42875</v>
      </c>
      <c r="AI89" s="2">
        <v>1328479</v>
      </c>
      <c r="AJ89" s="2">
        <v>1616573</v>
      </c>
      <c r="AK89" s="2">
        <v>1769106</v>
      </c>
    </row>
    <row r="90" spans="1:37" x14ac:dyDescent="0.25">
      <c r="A90" s="3">
        <v>90</v>
      </c>
      <c r="B90" s="3">
        <v>94</v>
      </c>
      <c r="C90" s="3">
        <v>0</v>
      </c>
      <c r="D90" s="3">
        <v>0</v>
      </c>
      <c r="E90" s="4">
        <v>48338</v>
      </c>
      <c r="F90" s="4">
        <v>1597791</v>
      </c>
      <c r="G90" s="4">
        <v>1798367</v>
      </c>
      <c r="H90" s="4">
        <v>1953282</v>
      </c>
      <c r="U90" s="3">
        <v>90</v>
      </c>
      <c r="V90" s="3">
        <v>94</v>
      </c>
      <c r="W90" s="3">
        <v>0</v>
      </c>
      <c r="X90" s="3">
        <v>0</v>
      </c>
      <c r="Y90" s="4">
        <v>63152</v>
      </c>
      <c r="Z90" s="4">
        <v>1720334</v>
      </c>
      <c r="AA90" s="4">
        <v>1814913</v>
      </c>
      <c r="AB90" s="4">
        <v>1918938</v>
      </c>
      <c r="AD90" s="3">
        <v>90</v>
      </c>
      <c r="AE90" s="3">
        <v>94</v>
      </c>
      <c r="AF90" s="3">
        <v>0</v>
      </c>
      <c r="AG90" s="3">
        <v>0</v>
      </c>
      <c r="AH90" s="4">
        <v>43927</v>
      </c>
      <c r="AI90" s="4">
        <v>1382452</v>
      </c>
      <c r="AJ90" s="4">
        <v>1672725</v>
      </c>
      <c r="AK90" s="4">
        <v>1816817</v>
      </c>
    </row>
    <row r="91" spans="1:37" x14ac:dyDescent="0.25">
      <c r="A91" s="1">
        <v>91</v>
      </c>
      <c r="B91" s="1">
        <v>95</v>
      </c>
      <c r="C91" s="1">
        <v>0</v>
      </c>
      <c r="D91" s="1">
        <v>0</v>
      </c>
      <c r="E91" s="2">
        <v>49450</v>
      </c>
      <c r="F91" s="2">
        <v>1659979</v>
      </c>
      <c r="G91" s="2">
        <v>1862154</v>
      </c>
      <c r="H91" s="2">
        <v>2006567</v>
      </c>
      <c r="U91" s="1">
        <v>91</v>
      </c>
      <c r="V91" s="1">
        <v>95</v>
      </c>
      <c r="W91" s="1">
        <v>0</v>
      </c>
      <c r="X91" s="1">
        <v>0</v>
      </c>
      <c r="Y91" s="2">
        <v>65366</v>
      </c>
      <c r="Z91" s="2">
        <v>1795049</v>
      </c>
      <c r="AA91" s="2">
        <v>1890142</v>
      </c>
      <c r="AB91" s="2">
        <v>1987677</v>
      </c>
      <c r="AD91" s="1">
        <v>91</v>
      </c>
      <c r="AE91" s="1">
        <v>95</v>
      </c>
      <c r="AF91" s="1">
        <v>0</v>
      </c>
      <c r="AG91" s="1">
        <v>0</v>
      </c>
      <c r="AH91" s="2">
        <v>44931</v>
      </c>
      <c r="AI91" s="2">
        <v>1438404</v>
      </c>
      <c r="AJ91" s="2">
        <v>1730991</v>
      </c>
      <c r="AK91" s="2">
        <v>1865232</v>
      </c>
    </row>
    <row r="92" spans="1:37" x14ac:dyDescent="0.25">
      <c r="A92" s="3">
        <v>92</v>
      </c>
      <c r="B92" s="3">
        <v>96</v>
      </c>
      <c r="C92" s="3">
        <v>0</v>
      </c>
      <c r="D92" s="3">
        <v>0</v>
      </c>
      <c r="E92" s="4">
        <v>50446</v>
      </c>
      <c r="F92" s="4">
        <v>1725557</v>
      </c>
      <c r="G92" s="4">
        <v>1929576</v>
      </c>
      <c r="H92" s="4">
        <v>2060434</v>
      </c>
      <c r="U92" s="3">
        <v>92</v>
      </c>
      <c r="V92" s="3">
        <v>96</v>
      </c>
      <c r="W92" s="3">
        <v>0</v>
      </c>
      <c r="X92" s="3">
        <v>0</v>
      </c>
      <c r="Y92" s="4">
        <v>67623</v>
      </c>
      <c r="Z92" s="4">
        <v>1873771</v>
      </c>
      <c r="AA92" s="4">
        <v>1969452</v>
      </c>
      <c r="AB92" s="4">
        <v>2058352</v>
      </c>
      <c r="AD92" s="3">
        <v>92</v>
      </c>
      <c r="AE92" s="3">
        <v>96</v>
      </c>
      <c r="AF92" s="3">
        <v>0</v>
      </c>
      <c r="AG92" s="3">
        <v>0</v>
      </c>
      <c r="AH92" s="4">
        <v>45839</v>
      </c>
      <c r="AI92" s="4">
        <v>1497356</v>
      </c>
      <c r="AJ92" s="4">
        <v>1792610</v>
      </c>
      <c r="AK92" s="4">
        <v>1914180</v>
      </c>
    </row>
    <row r="93" spans="1:37" x14ac:dyDescent="0.25">
      <c r="A93" s="1">
        <v>93</v>
      </c>
      <c r="B93" s="1">
        <v>97</v>
      </c>
      <c r="C93" s="1">
        <v>0</v>
      </c>
      <c r="D93" s="1">
        <v>0</v>
      </c>
      <c r="E93" s="2">
        <v>51516</v>
      </c>
      <c r="F93" s="2">
        <v>1795370</v>
      </c>
      <c r="G93" s="2">
        <v>2001552</v>
      </c>
      <c r="H93" s="2">
        <v>2114866</v>
      </c>
      <c r="U93" s="1">
        <v>93</v>
      </c>
      <c r="V93" s="1">
        <v>97</v>
      </c>
      <c r="W93" s="1">
        <v>0</v>
      </c>
      <c r="X93" s="1">
        <v>0</v>
      </c>
      <c r="Y93" s="2">
        <v>69941</v>
      </c>
      <c r="Z93" s="2">
        <v>1957166</v>
      </c>
      <c r="AA93" s="2">
        <v>2053534</v>
      </c>
      <c r="AB93" s="2">
        <v>2130929</v>
      </c>
      <c r="AD93" s="1">
        <v>93</v>
      </c>
      <c r="AE93" s="1">
        <v>97</v>
      </c>
      <c r="AF93" s="1">
        <v>0</v>
      </c>
      <c r="AG93" s="1">
        <v>0</v>
      </c>
      <c r="AH93" s="2">
        <v>46831</v>
      </c>
      <c r="AI93" s="2">
        <v>1560064</v>
      </c>
      <c r="AJ93" s="2">
        <v>1858449</v>
      </c>
      <c r="AK93" s="2">
        <v>1963662</v>
      </c>
    </row>
    <row r="94" spans="1:37" x14ac:dyDescent="0.25">
      <c r="A94" s="3">
        <v>94</v>
      </c>
      <c r="B94" s="3">
        <v>98</v>
      </c>
      <c r="C94" s="3">
        <v>0</v>
      </c>
      <c r="D94" s="3">
        <v>0</v>
      </c>
      <c r="E94" s="4">
        <v>52287</v>
      </c>
      <c r="F94" s="4">
        <v>1871294</v>
      </c>
      <c r="G94" s="4">
        <v>2080190</v>
      </c>
      <c r="H94" s="4">
        <v>2169395</v>
      </c>
      <c r="U94" s="3">
        <v>94</v>
      </c>
      <c r="V94" s="3">
        <v>98</v>
      </c>
      <c r="W94" s="3">
        <v>0</v>
      </c>
      <c r="X94" s="3">
        <v>0</v>
      </c>
      <c r="Y94" s="4">
        <v>72211</v>
      </c>
      <c r="Z94" s="4">
        <v>2046701</v>
      </c>
      <c r="AA94" s="4">
        <v>2143922</v>
      </c>
      <c r="AB94" s="4">
        <v>2205204</v>
      </c>
      <c r="AD94" s="3">
        <v>94</v>
      </c>
      <c r="AE94" s="3">
        <v>98</v>
      </c>
      <c r="AF94" s="3">
        <v>0</v>
      </c>
      <c r="AG94" s="3">
        <v>0</v>
      </c>
      <c r="AH94" s="4">
        <v>47560</v>
      </c>
      <c r="AI94" s="4">
        <v>1628163</v>
      </c>
      <c r="AJ94" s="4">
        <v>1930476</v>
      </c>
      <c r="AK94" s="4">
        <v>2013262</v>
      </c>
    </row>
    <row r="95" spans="1:37" x14ac:dyDescent="0.25">
      <c r="A95" s="1">
        <v>95</v>
      </c>
      <c r="B95" s="1">
        <v>99</v>
      </c>
      <c r="C95" s="1">
        <v>0</v>
      </c>
      <c r="D95" s="1">
        <v>0</v>
      </c>
      <c r="E95" s="2">
        <v>52537</v>
      </c>
      <c r="F95" s="2">
        <v>1956520</v>
      </c>
      <c r="G95" s="2">
        <v>2169065</v>
      </c>
      <c r="H95" s="2">
        <v>2223245</v>
      </c>
      <c r="U95" s="1">
        <v>95</v>
      </c>
      <c r="V95" s="1">
        <v>99</v>
      </c>
      <c r="W95" s="1">
        <v>0</v>
      </c>
      <c r="X95" s="1">
        <v>0</v>
      </c>
      <c r="Y95" s="2">
        <v>74259</v>
      </c>
      <c r="Z95" s="2">
        <v>2144938</v>
      </c>
      <c r="AA95" s="2">
        <v>2243298</v>
      </c>
      <c r="AB95" s="2">
        <v>2280701</v>
      </c>
      <c r="AD95" s="1">
        <v>95</v>
      </c>
      <c r="AE95" s="1">
        <v>99</v>
      </c>
      <c r="AF95" s="1">
        <v>0</v>
      </c>
      <c r="AG95" s="1">
        <v>0</v>
      </c>
      <c r="AH95" s="2">
        <v>47840</v>
      </c>
      <c r="AI95" s="2">
        <v>1704444</v>
      </c>
      <c r="AJ95" s="2">
        <v>2012038</v>
      </c>
      <c r="AK95" s="2">
        <v>2062297</v>
      </c>
    </row>
    <row r="96" spans="1:37" x14ac:dyDescent="0.25">
      <c r="A96" s="3">
        <v>96</v>
      </c>
      <c r="B96" s="3">
        <v>100</v>
      </c>
      <c r="C96" s="3">
        <v>0</v>
      </c>
      <c r="D96" s="3">
        <v>0</v>
      </c>
      <c r="E96" s="4">
        <v>51768</v>
      </c>
      <c r="F96" s="4">
        <v>2057159</v>
      </c>
      <c r="G96" s="4">
        <v>2275013</v>
      </c>
      <c r="H96" s="4">
        <v>2275013</v>
      </c>
      <c r="U96" s="3">
        <v>96</v>
      </c>
      <c r="V96" s="3">
        <v>100</v>
      </c>
      <c r="W96" s="3">
        <v>0</v>
      </c>
      <c r="X96" s="3">
        <v>0</v>
      </c>
      <c r="Y96" s="4">
        <v>75770</v>
      </c>
      <c r="Z96" s="4">
        <v>2256471</v>
      </c>
      <c r="AA96" s="4">
        <v>2356471</v>
      </c>
      <c r="AB96" s="4">
        <v>2356471</v>
      </c>
      <c r="AD96" s="3">
        <v>96</v>
      </c>
      <c r="AE96" s="3">
        <v>100</v>
      </c>
      <c r="AF96" s="3">
        <v>0</v>
      </c>
      <c r="AG96" s="3">
        <v>0</v>
      </c>
      <c r="AH96" s="4">
        <v>47235</v>
      </c>
      <c r="AI96" s="4">
        <v>1794254</v>
      </c>
      <c r="AJ96" s="4">
        <v>2109532</v>
      </c>
      <c r="AK96" s="4">
        <v>2109532</v>
      </c>
    </row>
    <row r="97" spans="1:37" x14ac:dyDescent="0.25">
      <c r="A97" s="1">
        <v>97</v>
      </c>
      <c r="B97" s="1">
        <v>101</v>
      </c>
      <c r="C97" s="1">
        <v>0</v>
      </c>
      <c r="D97" s="1">
        <v>0</v>
      </c>
      <c r="E97" s="2">
        <v>122546</v>
      </c>
      <c r="F97" s="2">
        <v>2179705</v>
      </c>
      <c r="G97" s="2">
        <v>2397559</v>
      </c>
      <c r="H97" s="2">
        <v>2397559</v>
      </c>
      <c r="U97" s="1">
        <v>97</v>
      </c>
      <c r="V97" s="1">
        <v>101</v>
      </c>
      <c r="W97" s="1">
        <v>0</v>
      </c>
      <c r="X97" s="1">
        <v>0</v>
      </c>
      <c r="Y97" s="2">
        <v>126711</v>
      </c>
      <c r="Z97" s="2">
        <v>2383182</v>
      </c>
      <c r="AA97" s="2">
        <v>2483182</v>
      </c>
      <c r="AB97" s="2">
        <v>2483182</v>
      </c>
      <c r="AD97" s="1">
        <v>97</v>
      </c>
      <c r="AE97" s="1">
        <v>101</v>
      </c>
      <c r="AF97" s="1">
        <v>0</v>
      </c>
      <c r="AG97" s="1">
        <v>0</v>
      </c>
      <c r="AH97" s="2">
        <v>111954</v>
      </c>
      <c r="AI97" s="2">
        <v>1906208</v>
      </c>
      <c r="AJ97" s="2">
        <v>2221486</v>
      </c>
      <c r="AK97" s="2">
        <v>2221486</v>
      </c>
    </row>
    <row r="98" spans="1:37" x14ac:dyDescent="0.25">
      <c r="A98" s="3">
        <v>98</v>
      </c>
      <c r="B98" s="3">
        <v>102</v>
      </c>
      <c r="C98" s="3">
        <v>0</v>
      </c>
      <c r="D98" s="3">
        <v>0</v>
      </c>
      <c r="E98" s="4">
        <v>129127</v>
      </c>
      <c r="F98" s="4">
        <v>2308832</v>
      </c>
      <c r="G98" s="4">
        <v>2526686</v>
      </c>
      <c r="H98" s="4">
        <v>2526686</v>
      </c>
      <c r="U98" s="3">
        <v>98</v>
      </c>
      <c r="V98" s="3">
        <v>102</v>
      </c>
      <c r="W98" s="3">
        <v>0</v>
      </c>
      <c r="X98" s="3">
        <v>0</v>
      </c>
      <c r="Y98" s="4">
        <v>133515</v>
      </c>
      <c r="Z98" s="4">
        <v>2516697</v>
      </c>
      <c r="AA98" s="4">
        <v>2616697</v>
      </c>
      <c r="AB98" s="4">
        <v>2616697</v>
      </c>
      <c r="AD98" s="3">
        <v>98</v>
      </c>
      <c r="AE98" s="3">
        <v>102</v>
      </c>
      <c r="AF98" s="3">
        <v>0</v>
      </c>
      <c r="AG98" s="3">
        <v>0</v>
      </c>
      <c r="AH98" s="4">
        <v>117966</v>
      </c>
      <c r="AI98" s="4">
        <v>2024174</v>
      </c>
      <c r="AJ98" s="4">
        <v>2339452</v>
      </c>
      <c r="AK98" s="4">
        <v>2339452</v>
      </c>
    </row>
    <row r="99" spans="1:37" x14ac:dyDescent="0.25">
      <c r="A99" s="1">
        <v>99</v>
      </c>
      <c r="B99" s="1">
        <v>103</v>
      </c>
      <c r="C99" s="1">
        <v>0</v>
      </c>
      <c r="D99" s="1">
        <v>0</v>
      </c>
      <c r="E99" s="2">
        <v>136061</v>
      </c>
      <c r="F99" s="2">
        <v>2444893</v>
      </c>
      <c r="G99" s="2">
        <v>2662747</v>
      </c>
      <c r="H99" s="2">
        <v>2662747</v>
      </c>
      <c r="U99" s="1">
        <v>99</v>
      </c>
      <c r="V99" s="1">
        <v>103</v>
      </c>
      <c r="W99" s="1">
        <v>0</v>
      </c>
      <c r="X99" s="1">
        <v>0</v>
      </c>
      <c r="Y99" s="2">
        <v>140685</v>
      </c>
      <c r="Z99" s="2">
        <v>2657381</v>
      </c>
      <c r="AA99" s="2">
        <v>2757381</v>
      </c>
      <c r="AB99" s="2">
        <v>2757381</v>
      </c>
      <c r="AD99" s="1">
        <v>99</v>
      </c>
      <c r="AE99" s="1">
        <v>103</v>
      </c>
      <c r="AF99" s="1">
        <v>0</v>
      </c>
      <c r="AG99" s="1">
        <v>0</v>
      </c>
      <c r="AH99" s="2">
        <v>124301</v>
      </c>
      <c r="AI99" s="2">
        <v>2148475</v>
      </c>
      <c r="AJ99" s="2">
        <v>2463752</v>
      </c>
      <c r="AK99" s="2">
        <v>2463752</v>
      </c>
    </row>
    <row r="100" spans="1:37" x14ac:dyDescent="0.25">
      <c r="A100" s="3">
        <v>100</v>
      </c>
      <c r="B100" s="3">
        <v>104</v>
      </c>
      <c r="C100" s="3">
        <v>0</v>
      </c>
      <c r="D100" s="3">
        <v>0</v>
      </c>
      <c r="E100" s="4">
        <v>143367</v>
      </c>
      <c r="F100" s="4">
        <v>2588260</v>
      </c>
      <c r="G100" s="4">
        <v>2806114</v>
      </c>
      <c r="H100" s="4">
        <v>2806114</v>
      </c>
      <c r="U100" s="3">
        <v>100</v>
      </c>
      <c r="V100" s="3">
        <v>104</v>
      </c>
      <c r="W100" s="3">
        <v>0</v>
      </c>
      <c r="X100" s="3">
        <v>0</v>
      </c>
      <c r="Y100" s="4">
        <v>148239</v>
      </c>
      <c r="Z100" s="4">
        <v>2805621</v>
      </c>
      <c r="AA100" s="4">
        <v>2905621</v>
      </c>
      <c r="AB100" s="4">
        <v>2905621</v>
      </c>
      <c r="AD100" s="3">
        <v>100</v>
      </c>
      <c r="AE100" s="3">
        <v>104</v>
      </c>
      <c r="AF100" s="3">
        <v>0</v>
      </c>
      <c r="AG100" s="3">
        <v>0</v>
      </c>
      <c r="AH100" s="4">
        <v>130976</v>
      </c>
      <c r="AI100" s="4">
        <v>2279451</v>
      </c>
      <c r="AJ100" s="4">
        <v>2594728</v>
      </c>
      <c r="AK100" s="4">
        <v>2594728</v>
      </c>
    </row>
    <row r="101" spans="1:37" x14ac:dyDescent="0.25">
      <c r="A101" s="1">
        <v>101</v>
      </c>
      <c r="B101" s="1">
        <v>105</v>
      </c>
      <c r="C101" s="1">
        <v>0</v>
      </c>
      <c r="D101" s="1">
        <v>0</v>
      </c>
      <c r="E101" s="2">
        <v>151066</v>
      </c>
      <c r="F101" s="2">
        <v>2739326</v>
      </c>
      <c r="G101" s="2">
        <v>2957180</v>
      </c>
      <c r="H101" s="2">
        <v>2957180</v>
      </c>
      <c r="U101" s="1">
        <v>101</v>
      </c>
      <c r="V101" s="1">
        <v>105</v>
      </c>
      <c r="W101" s="1">
        <v>0</v>
      </c>
      <c r="X101" s="1">
        <v>0</v>
      </c>
      <c r="Y101" s="2">
        <v>156200</v>
      </c>
      <c r="Z101" s="2">
        <v>2961821</v>
      </c>
      <c r="AA101" s="2">
        <v>3061821</v>
      </c>
      <c r="AB101" s="2">
        <v>3061821</v>
      </c>
      <c r="AD101" s="1">
        <v>101</v>
      </c>
      <c r="AE101" s="1">
        <v>105</v>
      </c>
      <c r="AF101" s="1">
        <v>0</v>
      </c>
      <c r="AG101" s="1">
        <v>0</v>
      </c>
      <c r="AH101" s="2">
        <v>138009</v>
      </c>
      <c r="AI101" s="2">
        <v>2417460</v>
      </c>
      <c r="AJ101" s="2">
        <v>2732737</v>
      </c>
      <c r="AK101" s="2">
        <v>2732737</v>
      </c>
    </row>
    <row r="102" spans="1:37" x14ac:dyDescent="0.25">
      <c r="A102" s="3">
        <v>102</v>
      </c>
      <c r="B102" s="3">
        <v>106</v>
      </c>
      <c r="C102" s="3">
        <v>0</v>
      </c>
      <c r="D102" s="3">
        <v>0</v>
      </c>
      <c r="E102" s="4">
        <v>159178</v>
      </c>
      <c r="F102" s="4">
        <v>2898505</v>
      </c>
      <c r="G102" s="4">
        <v>3116359</v>
      </c>
      <c r="H102" s="4">
        <v>3116359</v>
      </c>
      <c r="U102" s="3">
        <v>102</v>
      </c>
      <c r="V102" s="3">
        <v>106</v>
      </c>
      <c r="W102" s="3">
        <v>0</v>
      </c>
      <c r="X102" s="3">
        <v>0</v>
      </c>
      <c r="Y102" s="4">
        <v>164588</v>
      </c>
      <c r="Z102" s="4">
        <v>3126408</v>
      </c>
      <c r="AA102" s="4">
        <v>3226408</v>
      </c>
      <c r="AB102" s="4">
        <v>3226408</v>
      </c>
      <c r="AD102" s="3">
        <v>102</v>
      </c>
      <c r="AE102" s="3">
        <v>106</v>
      </c>
      <c r="AF102" s="3">
        <v>0</v>
      </c>
      <c r="AG102" s="3">
        <v>0</v>
      </c>
      <c r="AH102" s="4">
        <v>145420</v>
      </c>
      <c r="AI102" s="4">
        <v>2562880</v>
      </c>
      <c r="AJ102" s="4">
        <v>2878157</v>
      </c>
      <c r="AK102" s="4">
        <v>2878157</v>
      </c>
    </row>
    <row r="103" spans="1:37" x14ac:dyDescent="0.25">
      <c r="A103" s="1">
        <v>103</v>
      </c>
      <c r="B103" s="1">
        <v>107</v>
      </c>
      <c r="C103" s="1">
        <v>0</v>
      </c>
      <c r="D103" s="1">
        <v>0</v>
      </c>
      <c r="E103" s="2">
        <v>167726</v>
      </c>
      <c r="F103" s="2">
        <v>3066231</v>
      </c>
      <c r="G103" s="2">
        <v>3284085</v>
      </c>
      <c r="H103" s="2">
        <v>3284085</v>
      </c>
      <c r="U103" s="1">
        <v>103</v>
      </c>
      <c r="V103" s="1">
        <v>107</v>
      </c>
      <c r="W103" s="1">
        <v>0</v>
      </c>
      <c r="X103" s="1">
        <v>0</v>
      </c>
      <c r="Y103" s="2">
        <v>173426</v>
      </c>
      <c r="Z103" s="2">
        <v>3299834</v>
      </c>
      <c r="AA103" s="2">
        <v>3399834</v>
      </c>
      <c r="AB103" s="2">
        <v>3399834</v>
      </c>
      <c r="AD103" s="1">
        <v>103</v>
      </c>
      <c r="AE103" s="1">
        <v>107</v>
      </c>
      <c r="AF103" s="1">
        <v>0</v>
      </c>
      <c r="AG103" s="1">
        <v>0</v>
      </c>
      <c r="AH103" s="2">
        <v>153229</v>
      </c>
      <c r="AI103" s="2">
        <v>2716109</v>
      </c>
      <c r="AJ103" s="2">
        <v>3031386</v>
      </c>
      <c r="AK103" s="2">
        <v>3031386</v>
      </c>
    </row>
    <row r="104" spans="1:37" x14ac:dyDescent="0.25">
      <c r="A104" s="3">
        <v>104</v>
      </c>
      <c r="B104" s="3">
        <v>108</v>
      </c>
      <c r="C104" s="3">
        <v>0</v>
      </c>
      <c r="D104" s="3">
        <v>0</v>
      </c>
      <c r="E104" s="4">
        <v>176733</v>
      </c>
      <c r="F104" s="4">
        <v>3242964</v>
      </c>
      <c r="G104" s="4">
        <v>3460818</v>
      </c>
      <c r="H104" s="4">
        <v>3460818</v>
      </c>
      <c r="U104" s="3">
        <v>104</v>
      </c>
      <c r="V104" s="3">
        <v>108</v>
      </c>
      <c r="W104" s="3">
        <v>0</v>
      </c>
      <c r="X104" s="3">
        <v>0</v>
      </c>
      <c r="Y104" s="4">
        <v>182739</v>
      </c>
      <c r="Z104" s="4">
        <v>3482574</v>
      </c>
      <c r="AA104" s="4">
        <v>3582574</v>
      </c>
      <c r="AB104" s="4">
        <v>3582574</v>
      </c>
      <c r="AD104" s="3">
        <v>104</v>
      </c>
      <c r="AE104" s="3">
        <v>108</v>
      </c>
      <c r="AF104" s="3">
        <v>0</v>
      </c>
      <c r="AG104" s="3">
        <v>0</v>
      </c>
      <c r="AH104" s="4">
        <v>161458</v>
      </c>
      <c r="AI104" s="4">
        <v>2877567</v>
      </c>
      <c r="AJ104" s="4">
        <v>3192844</v>
      </c>
      <c r="AK104" s="4">
        <v>3192844</v>
      </c>
    </row>
    <row r="105" spans="1:37" x14ac:dyDescent="0.25">
      <c r="A105" s="1">
        <v>105</v>
      </c>
      <c r="B105" s="1">
        <v>109</v>
      </c>
      <c r="C105" s="1">
        <v>0</v>
      </c>
      <c r="D105" s="1">
        <v>0</v>
      </c>
      <c r="E105" s="2">
        <v>186224</v>
      </c>
      <c r="F105" s="2">
        <v>3429188</v>
      </c>
      <c r="G105" s="2">
        <v>3647042</v>
      </c>
      <c r="H105" s="2">
        <v>3647042</v>
      </c>
      <c r="U105" s="1">
        <v>105</v>
      </c>
      <c r="V105" s="1">
        <v>109</v>
      </c>
      <c r="W105" s="1">
        <v>0</v>
      </c>
      <c r="X105" s="1">
        <v>0</v>
      </c>
      <c r="Y105" s="2">
        <v>192552</v>
      </c>
      <c r="Z105" s="2">
        <v>3675126</v>
      </c>
      <c r="AA105" s="2">
        <v>3775126</v>
      </c>
      <c r="AB105" s="2">
        <v>3775126</v>
      </c>
      <c r="AD105" s="1">
        <v>105</v>
      </c>
      <c r="AE105" s="1">
        <v>109</v>
      </c>
      <c r="AF105" s="1">
        <v>0</v>
      </c>
      <c r="AG105" s="1">
        <v>0</v>
      </c>
      <c r="AH105" s="2">
        <v>170128</v>
      </c>
      <c r="AI105" s="2">
        <v>3047694</v>
      </c>
      <c r="AJ105" s="2">
        <v>3362972</v>
      </c>
      <c r="AK105" s="2">
        <v>3362972</v>
      </c>
    </row>
    <row r="106" spans="1:37" x14ac:dyDescent="0.25">
      <c r="A106" s="3">
        <v>106</v>
      </c>
      <c r="B106" s="3">
        <v>110</v>
      </c>
      <c r="C106" s="3">
        <v>0</v>
      </c>
      <c r="D106" s="3">
        <v>0</v>
      </c>
      <c r="E106" s="4">
        <v>196224</v>
      </c>
      <c r="F106" s="4">
        <v>3625412</v>
      </c>
      <c r="G106" s="4">
        <v>3843266</v>
      </c>
      <c r="H106" s="4">
        <v>3843266</v>
      </c>
      <c r="U106" s="3">
        <v>106</v>
      </c>
      <c r="V106" s="3">
        <v>110</v>
      </c>
      <c r="W106" s="3">
        <v>0</v>
      </c>
      <c r="X106" s="3">
        <v>0</v>
      </c>
      <c r="Y106" s="4">
        <v>202892</v>
      </c>
      <c r="Z106" s="4">
        <v>3878018</v>
      </c>
      <c r="AA106" s="4">
        <v>3978018</v>
      </c>
      <c r="AB106" s="4">
        <v>3978018</v>
      </c>
      <c r="AD106" s="3">
        <v>106</v>
      </c>
      <c r="AE106" s="3">
        <v>110</v>
      </c>
      <c r="AF106" s="3">
        <v>0</v>
      </c>
      <c r="AG106" s="3">
        <v>0</v>
      </c>
      <c r="AH106" s="4">
        <v>179264</v>
      </c>
      <c r="AI106" s="4">
        <v>3226958</v>
      </c>
      <c r="AJ106" s="4">
        <v>3542236</v>
      </c>
      <c r="AK106" s="4">
        <v>3542236</v>
      </c>
    </row>
    <row r="107" spans="1:37" x14ac:dyDescent="0.25">
      <c r="A107" s="1">
        <v>107</v>
      </c>
      <c r="B107" s="1">
        <v>111</v>
      </c>
      <c r="C107" s="1">
        <v>0</v>
      </c>
      <c r="D107" s="1">
        <v>0</v>
      </c>
      <c r="E107" s="2">
        <v>206761</v>
      </c>
      <c r="F107" s="2">
        <v>3832173</v>
      </c>
      <c r="G107" s="2">
        <v>4050027</v>
      </c>
      <c r="H107" s="2">
        <v>4050027</v>
      </c>
      <c r="U107" s="1">
        <v>107</v>
      </c>
      <c r="V107" s="1">
        <v>111</v>
      </c>
      <c r="W107" s="1">
        <v>0</v>
      </c>
      <c r="X107" s="1">
        <v>0</v>
      </c>
      <c r="Y107" s="2">
        <v>213788</v>
      </c>
      <c r="Z107" s="2">
        <v>4091806</v>
      </c>
      <c r="AA107" s="2">
        <v>4191806</v>
      </c>
      <c r="AB107" s="2">
        <v>4191806</v>
      </c>
      <c r="AD107" s="1">
        <v>107</v>
      </c>
      <c r="AE107" s="1">
        <v>111</v>
      </c>
      <c r="AF107" s="1">
        <v>0</v>
      </c>
      <c r="AG107" s="1">
        <v>0</v>
      </c>
      <c r="AH107" s="2">
        <v>188890</v>
      </c>
      <c r="AI107" s="2">
        <v>3415848</v>
      </c>
      <c r="AJ107" s="2">
        <v>3731126</v>
      </c>
      <c r="AK107" s="2">
        <v>3731126</v>
      </c>
    </row>
    <row r="108" spans="1:37" x14ac:dyDescent="0.25">
      <c r="A108" s="3">
        <v>108</v>
      </c>
      <c r="B108" s="3">
        <v>112</v>
      </c>
      <c r="C108" s="3">
        <v>0</v>
      </c>
      <c r="D108" s="3">
        <v>0</v>
      </c>
      <c r="E108" s="4">
        <v>217864</v>
      </c>
      <c r="F108" s="4">
        <v>4050037</v>
      </c>
      <c r="G108" s="4">
        <v>4267891</v>
      </c>
      <c r="H108" s="4">
        <v>4267891</v>
      </c>
      <c r="U108" s="3">
        <v>108</v>
      </c>
      <c r="V108" s="3">
        <v>112</v>
      </c>
      <c r="W108" s="3">
        <v>0</v>
      </c>
      <c r="X108" s="3">
        <v>0</v>
      </c>
      <c r="Y108" s="4">
        <v>225268</v>
      </c>
      <c r="Z108" s="4">
        <v>4317074</v>
      </c>
      <c r="AA108" s="4">
        <v>4417074</v>
      </c>
      <c r="AB108" s="4">
        <v>4417074</v>
      </c>
      <c r="AD108" s="3">
        <v>108</v>
      </c>
      <c r="AE108" s="3">
        <v>112</v>
      </c>
      <c r="AF108" s="3">
        <v>0</v>
      </c>
      <c r="AG108" s="3">
        <v>0</v>
      </c>
      <c r="AH108" s="4">
        <v>199034</v>
      </c>
      <c r="AI108" s="4">
        <v>3614882</v>
      </c>
      <c r="AJ108" s="4">
        <v>3930159</v>
      </c>
      <c r="AK108" s="4">
        <v>3930159</v>
      </c>
    </row>
    <row r="109" spans="1:37" x14ac:dyDescent="0.25">
      <c r="A109" s="1">
        <v>109</v>
      </c>
      <c r="B109" s="1">
        <v>113</v>
      </c>
      <c r="C109" s="1">
        <v>0</v>
      </c>
      <c r="D109" s="1">
        <v>0</v>
      </c>
      <c r="E109" s="2">
        <v>229564</v>
      </c>
      <c r="F109" s="2">
        <v>4279601</v>
      </c>
      <c r="G109" s="2">
        <v>4497455</v>
      </c>
      <c r="H109" s="2">
        <v>4497455</v>
      </c>
      <c r="U109" s="1">
        <v>109</v>
      </c>
      <c r="V109" s="1">
        <v>113</v>
      </c>
      <c r="W109" s="1">
        <v>0</v>
      </c>
      <c r="X109" s="1">
        <v>0</v>
      </c>
      <c r="Y109" s="2">
        <v>237365</v>
      </c>
      <c r="Z109" s="2">
        <v>4554438</v>
      </c>
      <c r="AA109" s="2">
        <v>4654438</v>
      </c>
      <c r="AB109" s="2">
        <v>4654438</v>
      </c>
      <c r="AD109" s="1">
        <v>109</v>
      </c>
      <c r="AE109" s="1">
        <v>113</v>
      </c>
      <c r="AF109" s="1">
        <v>0</v>
      </c>
      <c r="AG109" s="1">
        <v>0</v>
      </c>
      <c r="AH109" s="2">
        <v>209722</v>
      </c>
      <c r="AI109" s="2">
        <v>3824604</v>
      </c>
      <c r="AJ109" s="2">
        <v>4139881</v>
      </c>
      <c r="AK109" s="2">
        <v>4139881</v>
      </c>
    </row>
    <row r="110" spans="1:37" x14ac:dyDescent="0.25">
      <c r="A110" s="3">
        <v>110</v>
      </c>
      <c r="B110" s="3">
        <v>114</v>
      </c>
      <c r="C110" s="3">
        <v>0</v>
      </c>
      <c r="D110" s="3">
        <v>0</v>
      </c>
      <c r="E110" s="4">
        <v>241891</v>
      </c>
      <c r="F110" s="4">
        <v>4521492</v>
      </c>
      <c r="G110" s="4">
        <v>4739346</v>
      </c>
      <c r="H110" s="4">
        <v>4739346</v>
      </c>
      <c r="U110" s="3">
        <v>110</v>
      </c>
      <c r="V110" s="3">
        <v>114</v>
      </c>
      <c r="W110" s="3">
        <v>0</v>
      </c>
      <c r="X110" s="3">
        <v>0</v>
      </c>
      <c r="Y110" s="4">
        <v>250111</v>
      </c>
      <c r="Z110" s="4">
        <v>4804550</v>
      </c>
      <c r="AA110" s="4">
        <v>4904550</v>
      </c>
      <c r="AB110" s="4">
        <v>4904550</v>
      </c>
      <c r="AD110" s="3">
        <v>110</v>
      </c>
      <c r="AE110" s="3">
        <v>114</v>
      </c>
      <c r="AF110" s="3">
        <v>0</v>
      </c>
      <c r="AG110" s="3">
        <v>0</v>
      </c>
      <c r="AH110" s="4">
        <v>220984</v>
      </c>
      <c r="AI110" s="4">
        <v>4045587</v>
      </c>
      <c r="AJ110" s="4">
        <v>4360865</v>
      </c>
      <c r="AK110" s="4">
        <v>4360865</v>
      </c>
    </row>
    <row r="111" spans="1:37" x14ac:dyDescent="0.25">
      <c r="A111" s="1">
        <v>111</v>
      </c>
      <c r="B111" s="1">
        <v>115</v>
      </c>
      <c r="C111" s="1">
        <v>0</v>
      </c>
      <c r="D111" s="1">
        <v>0</v>
      </c>
      <c r="E111" s="2">
        <v>254881</v>
      </c>
      <c r="F111" s="2">
        <v>4776372</v>
      </c>
      <c r="G111" s="2">
        <v>4994226</v>
      </c>
      <c r="H111" s="2">
        <v>4994226</v>
      </c>
      <c r="U111" s="1">
        <v>111</v>
      </c>
      <c r="V111" s="1">
        <v>115</v>
      </c>
      <c r="W111" s="1">
        <v>0</v>
      </c>
      <c r="X111" s="1">
        <v>0</v>
      </c>
      <c r="Y111" s="2">
        <v>263542</v>
      </c>
      <c r="Z111" s="2">
        <v>5068092</v>
      </c>
      <c r="AA111" s="2">
        <v>5168092</v>
      </c>
      <c r="AB111" s="2">
        <v>5168092</v>
      </c>
      <c r="AD111" s="1">
        <v>111</v>
      </c>
      <c r="AE111" s="1">
        <v>115</v>
      </c>
      <c r="AF111" s="1">
        <v>0</v>
      </c>
      <c r="AG111" s="1">
        <v>0</v>
      </c>
      <c r="AH111" s="2">
        <v>232851</v>
      </c>
      <c r="AI111" s="2">
        <v>4278438</v>
      </c>
      <c r="AJ111" s="2">
        <v>4593715</v>
      </c>
      <c r="AK111" s="2">
        <v>4593715</v>
      </c>
    </row>
    <row r="112" spans="1:37" x14ac:dyDescent="0.25">
      <c r="A112" s="3">
        <v>112</v>
      </c>
      <c r="B112" s="3">
        <v>116</v>
      </c>
      <c r="C112" s="3">
        <v>0</v>
      </c>
      <c r="D112" s="3">
        <v>0</v>
      </c>
      <c r="E112" s="4">
        <v>268568</v>
      </c>
      <c r="F112" s="4">
        <v>5044940</v>
      </c>
      <c r="G112" s="4">
        <v>5262794</v>
      </c>
      <c r="H112" s="4">
        <v>5262794</v>
      </c>
      <c r="U112" s="3">
        <v>112</v>
      </c>
      <c r="V112" s="3">
        <v>116</v>
      </c>
      <c r="W112" s="3">
        <v>0</v>
      </c>
      <c r="X112" s="3">
        <v>0</v>
      </c>
      <c r="Y112" s="4">
        <v>277695</v>
      </c>
      <c r="Z112" s="4">
        <v>5345787</v>
      </c>
      <c r="AA112" s="4">
        <v>5445787</v>
      </c>
      <c r="AB112" s="4">
        <v>5445787</v>
      </c>
      <c r="AD112" s="3">
        <v>112</v>
      </c>
      <c r="AE112" s="3">
        <v>116</v>
      </c>
      <c r="AF112" s="3">
        <v>0</v>
      </c>
      <c r="AG112" s="3">
        <v>0</v>
      </c>
      <c r="AH112" s="4">
        <v>245355</v>
      </c>
      <c r="AI112" s="4">
        <v>4523793</v>
      </c>
      <c r="AJ112" s="4">
        <v>4839070</v>
      </c>
      <c r="AK112" s="4">
        <v>4839070</v>
      </c>
    </row>
    <row r="113" spans="1:37" x14ac:dyDescent="0.25">
      <c r="A113" s="1">
        <v>113</v>
      </c>
      <c r="B113" s="1">
        <v>117</v>
      </c>
      <c r="C113" s="1">
        <v>0</v>
      </c>
      <c r="D113" s="1">
        <v>0</v>
      </c>
      <c r="E113" s="2">
        <v>282990</v>
      </c>
      <c r="F113" s="2">
        <v>5327930</v>
      </c>
      <c r="G113" s="2">
        <v>5545784</v>
      </c>
      <c r="H113" s="2">
        <v>5545784</v>
      </c>
      <c r="U113" s="1">
        <v>113</v>
      </c>
      <c r="V113" s="1">
        <v>117</v>
      </c>
      <c r="W113" s="1">
        <v>0</v>
      </c>
      <c r="X113" s="1">
        <v>0</v>
      </c>
      <c r="Y113" s="2">
        <v>292607</v>
      </c>
      <c r="Z113" s="2">
        <v>5638393</v>
      </c>
      <c r="AA113" s="2">
        <v>5738393</v>
      </c>
      <c r="AB113" s="2">
        <v>5738393</v>
      </c>
      <c r="AD113" s="1">
        <v>113</v>
      </c>
      <c r="AE113" s="1">
        <v>117</v>
      </c>
      <c r="AF113" s="1">
        <v>0</v>
      </c>
      <c r="AG113" s="1">
        <v>0</v>
      </c>
      <c r="AH113" s="2">
        <v>258530</v>
      </c>
      <c r="AI113" s="2">
        <v>4782323</v>
      </c>
      <c r="AJ113" s="2">
        <v>5097600</v>
      </c>
      <c r="AK113" s="2">
        <v>5097600</v>
      </c>
    </row>
    <row r="114" spans="1:37" x14ac:dyDescent="0.25">
      <c r="A114" s="3">
        <v>114</v>
      </c>
      <c r="B114" s="3">
        <v>118</v>
      </c>
      <c r="C114" s="3">
        <v>0</v>
      </c>
      <c r="D114" s="3">
        <v>0</v>
      </c>
      <c r="E114" s="4">
        <v>298186</v>
      </c>
      <c r="F114" s="4">
        <v>5626116</v>
      </c>
      <c r="G114" s="4">
        <v>5843970</v>
      </c>
      <c r="H114" s="4">
        <v>5843970</v>
      </c>
      <c r="U114" s="3">
        <v>114</v>
      </c>
      <c r="V114" s="3">
        <v>118</v>
      </c>
      <c r="W114" s="3">
        <v>0</v>
      </c>
      <c r="X114" s="3">
        <v>0</v>
      </c>
      <c r="Y114" s="4">
        <v>308320</v>
      </c>
      <c r="Z114" s="4">
        <v>5946713</v>
      </c>
      <c r="AA114" s="4">
        <v>6046713</v>
      </c>
      <c r="AB114" s="4">
        <v>6046713</v>
      </c>
      <c r="AD114" s="3">
        <v>114</v>
      </c>
      <c r="AE114" s="3">
        <v>118</v>
      </c>
      <c r="AF114" s="3">
        <v>0</v>
      </c>
      <c r="AG114" s="3">
        <v>0</v>
      </c>
      <c r="AH114" s="4">
        <v>272413</v>
      </c>
      <c r="AI114" s="4">
        <v>5054736</v>
      </c>
      <c r="AJ114" s="4">
        <v>5370014</v>
      </c>
      <c r="AK114" s="4">
        <v>5370014</v>
      </c>
    </row>
    <row r="115" spans="1:37" x14ac:dyDescent="0.25">
      <c r="A115" s="1">
        <v>115</v>
      </c>
      <c r="B115" s="1">
        <v>119</v>
      </c>
      <c r="C115" s="1">
        <v>0</v>
      </c>
      <c r="D115" s="1">
        <v>0</v>
      </c>
      <c r="E115" s="2">
        <v>314199</v>
      </c>
      <c r="F115" s="2">
        <v>5940315</v>
      </c>
      <c r="G115" s="2">
        <v>6158169</v>
      </c>
      <c r="H115" s="2">
        <v>6158169</v>
      </c>
      <c r="U115" s="1">
        <v>115</v>
      </c>
      <c r="V115" s="1">
        <v>119</v>
      </c>
      <c r="W115" s="1">
        <v>0</v>
      </c>
      <c r="X115" s="1">
        <v>0</v>
      </c>
      <c r="Y115" s="2">
        <v>324876</v>
      </c>
      <c r="Z115" s="2">
        <v>6271590</v>
      </c>
      <c r="AA115" s="2">
        <v>6371590</v>
      </c>
      <c r="AB115" s="2">
        <v>6371590</v>
      </c>
      <c r="AD115" s="1">
        <v>115</v>
      </c>
      <c r="AE115" s="1">
        <v>119</v>
      </c>
      <c r="AF115" s="1">
        <v>0</v>
      </c>
      <c r="AG115" s="1">
        <v>0</v>
      </c>
      <c r="AH115" s="2">
        <v>287042</v>
      </c>
      <c r="AI115" s="2">
        <v>5341778</v>
      </c>
      <c r="AJ115" s="2">
        <v>5657055</v>
      </c>
      <c r="AK115" s="2">
        <v>5657055</v>
      </c>
    </row>
    <row r="116" spans="1:37" x14ac:dyDescent="0.25">
      <c r="A116" s="3">
        <v>116</v>
      </c>
      <c r="B116" s="3">
        <v>120</v>
      </c>
      <c r="C116" s="3">
        <v>0</v>
      </c>
      <c r="D116" s="3">
        <v>0</v>
      </c>
      <c r="E116" s="4">
        <v>331071</v>
      </c>
      <c r="F116" s="4">
        <v>6271387</v>
      </c>
      <c r="G116" s="4">
        <v>6489241</v>
      </c>
      <c r="H116" s="4">
        <v>6489241</v>
      </c>
      <c r="U116" s="3">
        <v>116</v>
      </c>
      <c r="V116" s="3">
        <v>120</v>
      </c>
      <c r="W116" s="3">
        <v>0</v>
      </c>
      <c r="X116" s="3">
        <v>0</v>
      </c>
      <c r="Y116" s="4">
        <v>342322</v>
      </c>
      <c r="Z116" s="4">
        <v>6613912</v>
      </c>
      <c r="AA116" s="4">
        <v>6713912</v>
      </c>
      <c r="AB116" s="4">
        <v>6713912</v>
      </c>
      <c r="AD116" s="3">
        <v>116</v>
      </c>
      <c r="AE116" s="3">
        <v>120</v>
      </c>
      <c r="AF116" s="3">
        <v>0</v>
      </c>
      <c r="AG116" s="3">
        <v>0</v>
      </c>
      <c r="AH116" s="4">
        <v>302456</v>
      </c>
      <c r="AI116" s="4">
        <v>5644234</v>
      </c>
      <c r="AJ116" s="4">
        <v>5959512</v>
      </c>
      <c r="AK116" s="4">
        <v>5959512</v>
      </c>
    </row>
    <row r="117" spans="1:37" x14ac:dyDescent="0.25">
      <c r="A117" s="1">
        <v>117</v>
      </c>
      <c r="B117" s="1">
        <v>121</v>
      </c>
      <c r="C117" s="1">
        <v>0</v>
      </c>
      <c r="D117" s="1">
        <v>0</v>
      </c>
      <c r="E117" s="2">
        <v>348850</v>
      </c>
      <c r="F117" s="2">
        <v>6620237</v>
      </c>
      <c r="G117" s="2">
        <v>6838091</v>
      </c>
      <c r="H117" s="2">
        <v>6838091</v>
      </c>
      <c r="U117" s="1">
        <v>117</v>
      </c>
      <c r="V117" s="1">
        <v>121</v>
      </c>
      <c r="W117" s="1">
        <v>0</v>
      </c>
      <c r="X117" s="1">
        <v>0</v>
      </c>
      <c r="Y117" s="2">
        <v>360705</v>
      </c>
      <c r="Z117" s="2">
        <v>6974617</v>
      </c>
      <c r="AA117" s="2">
        <v>7074617</v>
      </c>
      <c r="AB117" s="2">
        <v>7074617</v>
      </c>
      <c r="AD117" s="1">
        <v>117</v>
      </c>
      <c r="AE117" s="1">
        <v>121</v>
      </c>
      <c r="AF117" s="1">
        <v>0</v>
      </c>
      <c r="AG117" s="1">
        <v>0</v>
      </c>
      <c r="AH117" s="2">
        <v>318698</v>
      </c>
      <c r="AI117" s="2">
        <v>5962932</v>
      </c>
      <c r="AJ117" s="2">
        <v>6278209</v>
      </c>
      <c r="AK117" s="2">
        <v>6278209</v>
      </c>
    </row>
    <row r="118" spans="1:37" ht="15.75" thickBot="1" x14ac:dyDescent="0.3">
      <c r="A118" s="5" t="s">
        <v>0</v>
      </c>
      <c r="U118" s="5" t="s">
        <v>0</v>
      </c>
      <c r="AD118" s="5" t="s">
        <v>0</v>
      </c>
    </row>
    <row r="119" spans="1:37" x14ac:dyDescent="0.25">
      <c r="A119" s="6"/>
      <c r="U119" s="6"/>
      <c r="AD1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Wille</dc:creator>
  <cp:lastModifiedBy>Tyler Wille</cp:lastModifiedBy>
  <dcterms:created xsi:type="dcterms:W3CDTF">2022-12-08T20:39:12Z</dcterms:created>
  <dcterms:modified xsi:type="dcterms:W3CDTF">2023-04-25T18:16:18Z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1df539-6093-4ec5-baaa-eb0dcc11254e_Enabled">
    <vt:lpwstr>true</vt:lpwstr>
  </property>
  <property fmtid="{D5CDD505-2E9C-101B-9397-08002B2CF9AE}" pid="3" name="MSIP_Label_1f1df539-6093-4ec5-baaa-eb0dcc11254e_SetDate">
    <vt:lpwstr>2022-12-08T21:24:24Z</vt:lpwstr>
  </property>
  <property fmtid="{D5CDD505-2E9C-101B-9397-08002B2CF9AE}" pid="4" name="MSIP_Label_1f1df539-6093-4ec5-baaa-eb0dcc11254e_Method">
    <vt:lpwstr>Standard</vt:lpwstr>
  </property>
  <property fmtid="{D5CDD505-2E9C-101B-9397-08002B2CF9AE}" pid="5" name="MSIP_Label_1f1df539-6093-4ec5-baaa-eb0dcc11254e_Name">
    <vt:lpwstr>General</vt:lpwstr>
  </property>
  <property fmtid="{D5CDD505-2E9C-101B-9397-08002B2CF9AE}" pid="6" name="MSIP_Label_1f1df539-6093-4ec5-baaa-eb0dcc11254e_SiteId">
    <vt:lpwstr>649fc29a-ece3-4a3b-a3c1-680a2f035a6e</vt:lpwstr>
  </property>
  <property fmtid="{D5CDD505-2E9C-101B-9397-08002B2CF9AE}" pid="7" name="MSIP_Label_1f1df539-6093-4ec5-baaa-eb0dcc11254e_ActionId">
    <vt:lpwstr>80d31e6a-7ebc-4c26-aee4-3ee01b90de01</vt:lpwstr>
  </property>
  <property fmtid="{D5CDD505-2E9C-101B-9397-08002B2CF9AE}" pid="8" name="MSIP_Label_1f1df539-6093-4ec5-baaa-eb0dcc11254e_ContentBits">
    <vt:lpwstr>0</vt:lpwstr>
  </property>
</Properties>
</file>