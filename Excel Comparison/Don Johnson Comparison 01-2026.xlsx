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ea4cd91ed03605/Desktop/"/>
    </mc:Choice>
  </mc:AlternateContent>
  <xr:revisionPtr revIDLastSave="0" documentId="8_{F9B3DCC7-CAA6-47FD-8BB0-688E4B663E92}" xr6:coauthVersionLast="47" xr6:coauthVersionMax="47" xr10:uidLastSave="{00000000-0000-0000-0000-000000000000}"/>
  <bookViews>
    <workbookView xWindow="-34050" yWindow="2205" windowWidth="28800" windowHeight="15345" xr2:uid="{10B7E256-E141-440A-A507-692F0A588D68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N3" i="1"/>
  <c r="M3" i="1"/>
  <c r="K3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T22" i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V3" i="1"/>
  <c r="U3" i="1"/>
  <c r="S3" i="1"/>
  <c r="T3" i="1" s="1"/>
  <c r="T4" i="1" s="1"/>
  <c r="W4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C29" i="1"/>
  <c r="C30" i="1"/>
  <c r="D54" i="1"/>
  <c r="D55" i="1"/>
  <c r="D56" i="1"/>
  <c r="D57" i="1"/>
  <c r="D58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3" i="1"/>
  <c r="E3" i="1"/>
  <c r="Q21" i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R21" i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I21" i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J21" i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C18" i="1"/>
  <c r="C19" i="1"/>
  <c r="C20" i="1"/>
  <c r="C21" i="1"/>
  <c r="C22" i="1"/>
  <c r="C23" i="1"/>
  <c r="C24" i="1"/>
  <c r="C25" i="1"/>
  <c r="C26" i="1"/>
  <c r="C27" i="1"/>
  <c r="C28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3" i="1"/>
  <c r="V61" i="1"/>
  <c r="U61" i="1"/>
  <c r="N61" i="1"/>
  <c r="M61" i="1"/>
  <c r="K61" i="1"/>
  <c r="F61" i="1"/>
  <c r="E61" i="1"/>
  <c r="C61" i="1"/>
  <c r="V60" i="1"/>
  <c r="U60" i="1"/>
  <c r="N60" i="1"/>
  <c r="M60" i="1"/>
  <c r="K60" i="1"/>
  <c r="F60" i="1"/>
  <c r="E60" i="1"/>
  <c r="C60" i="1"/>
  <c r="V59" i="1"/>
  <c r="U59" i="1"/>
  <c r="N59" i="1"/>
  <c r="M59" i="1"/>
  <c r="K59" i="1"/>
  <c r="F59" i="1"/>
  <c r="E59" i="1"/>
  <c r="C59" i="1"/>
  <c r="V58" i="1"/>
  <c r="U58" i="1"/>
  <c r="N58" i="1"/>
  <c r="M58" i="1"/>
  <c r="K58" i="1"/>
  <c r="F58" i="1"/>
  <c r="E58" i="1"/>
  <c r="C58" i="1"/>
  <c r="V57" i="1"/>
  <c r="U57" i="1"/>
  <c r="N57" i="1"/>
  <c r="M57" i="1"/>
  <c r="K57" i="1"/>
  <c r="F57" i="1"/>
  <c r="E57" i="1"/>
  <c r="C57" i="1"/>
  <c r="V56" i="1"/>
  <c r="U56" i="1"/>
  <c r="N56" i="1"/>
  <c r="M56" i="1"/>
  <c r="K56" i="1"/>
  <c r="F56" i="1"/>
  <c r="E56" i="1"/>
  <c r="C56" i="1"/>
  <c r="V55" i="1"/>
  <c r="U55" i="1"/>
  <c r="N55" i="1"/>
  <c r="M55" i="1"/>
  <c r="K55" i="1"/>
  <c r="F55" i="1"/>
  <c r="E55" i="1"/>
  <c r="C55" i="1"/>
  <c r="V54" i="1"/>
  <c r="U54" i="1"/>
  <c r="N54" i="1"/>
  <c r="M54" i="1"/>
  <c r="K54" i="1"/>
  <c r="F54" i="1"/>
  <c r="E54" i="1"/>
  <c r="C54" i="1"/>
  <c r="K53" i="1"/>
  <c r="F53" i="1"/>
  <c r="C53" i="1"/>
  <c r="K52" i="1"/>
  <c r="F52" i="1"/>
  <c r="C52" i="1"/>
  <c r="K51" i="1"/>
  <c r="F51" i="1"/>
  <c r="C51" i="1"/>
  <c r="K50" i="1"/>
  <c r="F50" i="1"/>
  <c r="C50" i="1"/>
  <c r="K49" i="1"/>
  <c r="F49" i="1"/>
  <c r="C49" i="1"/>
  <c r="K48" i="1"/>
  <c r="F48" i="1"/>
  <c r="C48" i="1"/>
  <c r="K47" i="1"/>
  <c r="C47" i="1"/>
  <c r="K46" i="1"/>
  <c r="C46" i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Q4" i="1"/>
  <c r="I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L3" i="1"/>
  <c r="L4" i="1" s="1"/>
  <c r="J3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l="1"/>
  <c r="D14" i="1" s="1"/>
  <c r="D15" i="1" s="1"/>
  <c r="D16" i="1" s="1"/>
  <c r="D17" i="1" s="1"/>
  <c r="D18" i="1" s="1"/>
  <c r="D19" i="1" s="1"/>
  <c r="D20" i="1" s="1"/>
  <c r="D21" i="1"/>
  <c r="G20" i="1"/>
  <c r="Q51" i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I51" i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B46" i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G3" i="1"/>
  <c r="G6" i="1"/>
  <c r="G5" i="1"/>
  <c r="L5" i="1"/>
  <c r="O4" i="1"/>
  <c r="T5" i="1"/>
  <c r="O3" i="1"/>
  <c r="W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R3" i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G4" i="1"/>
  <c r="D22" i="1" l="1"/>
  <c r="G21" i="1"/>
  <c r="G7" i="1"/>
  <c r="O5" i="1"/>
  <c r="L6" i="1"/>
  <c r="G8" i="1"/>
  <c r="T6" i="1"/>
  <c r="W5" i="1"/>
  <c r="D23" i="1" l="1"/>
  <c r="G22" i="1"/>
  <c r="T7" i="1"/>
  <c r="W6" i="1"/>
  <c r="G9" i="1"/>
  <c r="L7" i="1"/>
  <c r="O6" i="1"/>
  <c r="D24" i="1" l="1"/>
  <c r="G23" i="1"/>
  <c r="G10" i="1"/>
  <c r="L8" i="1"/>
  <c r="O7" i="1"/>
  <c r="W7" i="1"/>
  <c r="T8" i="1"/>
  <c r="D25" i="1" l="1"/>
  <c r="G24" i="1"/>
  <c r="T9" i="1"/>
  <c r="W8" i="1"/>
  <c r="O8" i="1"/>
  <c r="L9" i="1"/>
  <c r="G11" i="1"/>
  <c r="D26" i="1" l="1"/>
  <c r="G25" i="1"/>
  <c r="G12" i="1"/>
  <c r="L10" i="1"/>
  <c r="O9" i="1"/>
  <c r="T10" i="1"/>
  <c r="W9" i="1"/>
  <c r="D27" i="1" l="1"/>
  <c r="G26" i="1"/>
  <c r="G13" i="1"/>
  <c r="W10" i="1"/>
  <c r="T11" i="1"/>
  <c r="L11" i="1"/>
  <c r="O10" i="1"/>
  <c r="D28" i="1" l="1"/>
  <c r="G27" i="1"/>
  <c r="T12" i="1"/>
  <c r="W11" i="1"/>
  <c r="O11" i="1"/>
  <c r="L12" i="1"/>
  <c r="G14" i="1"/>
  <c r="G28" i="1" l="1"/>
  <c r="D29" i="1"/>
  <c r="L13" i="1"/>
  <c r="L14" i="1" s="1"/>
  <c r="L15" i="1" s="1"/>
  <c r="O12" i="1"/>
  <c r="G15" i="1"/>
  <c r="T13" i="1"/>
  <c r="W12" i="1"/>
  <c r="L16" i="1" l="1"/>
  <c r="O15" i="1"/>
  <c r="D30" i="1"/>
  <c r="G29" i="1"/>
  <c r="W13" i="1"/>
  <c r="T14" i="1"/>
  <c r="G16" i="1"/>
  <c r="O13" i="1"/>
  <c r="L17" i="1" l="1"/>
  <c r="O16" i="1"/>
  <c r="D31" i="1"/>
  <c r="G30" i="1"/>
  <c r="T15" i="1"/>
  <c r="W14" i="1"/>
  <c r="O14" i="1"/>
  <c r="G17" i="1"/>
  <c r="L18" i="1" l="1"/>
  <c r="O17" i="1"/>
  <c r="D32" i="1"/>
  <c r="G31" i="1"/>
  <c r="G18" i="1"/>
  <c r="T16" i="1"/>
  <c r="W15" i="1"/>
  <c r="L19" i="1" l="1"/>
  <c r="O18" i="1"/>
  <c r="D33" i="1"/>
  <c r="G32" i="1"/>
  <c r="G19" i="1"/>
  <c r="W16" i="1"/>
  <c r="T17" i="1"/>
  <c r="L20" i="1" l="1"/>
  <c r="O19" i="1"/>
  <c r="D34" i="1"/>
  <c r="G33" i="1"/>
  <c r="T18" i="1"/>
  <c r="W17" i="1"/>
  <c r="L21" i="1" l="1"/>
  <c r="O20" i="1"/>
  <c r="D35" i="1"/>
  <c r="G34" i="1"/>
  <c r="T19" i="1"/>
  <c r="W18" i="1"/>
  <c r="O21" i="1" l="1"/>
  <c r="L22" i="1"/>
  <c r="D36" i="1"/>
  <c r="G35" i="1"/>
  <c r="W19" i="1"/>
  <c r="T20" i="1"/>
  <c r="O22" i="1" l="1"/>
  <c r="L23" i="1"/>
  <c r="D37" i="1"/>
  <c r="G36" i="1"/>
  <c r="T21" i="1"/>
  <c r="W20" i="1"/>
  <c r="O23" i="1" l="1"/>
  <c r="L24" i="1"/>
  <c r="D38" i="1"/>
  <c r="G37" i="1"/>
  <c r="O24" i="1" l="1"/>
  <c r="L25" i="1"/>
  <c r="D39" i="1"/>
  <c r="G38" i="1"/>
  <c r="L26" i="1" l="1"/>
  <c r="O25" i="1"/>
  <c r="D40" i="1"/>
  <c r="G39" i="1"/>
  <c r="L27" i="1" l="1"/>
  <c r="O26" i="1"/>
  <c r="D41" i="1"/>
  <c r="G40" i="1"/>
  <c r="L28" i="1" l="1"/>
  <c r="O27" i="1"/>
  <c r="D42" i="1"/>
  <c r="G41" i="1"/>
  <c r="L29" i="1" l="1"/>
  <c r="O28" i="1"/>
  <c r="D43" i="1"/>
  <c r="G42" i="1"/>
  <c r="L30" i="1" l="1"/>
  <c r="O29" i="1"/>
  <c r="D44" i="1"/>
  <c r="G43" i="1"/>
  <c r="L31" i="1" l="1"/>
  <c r="O30" i="1"/>
  <c r="D45" i="1"/>
  <c r="G44" i="1"/>
  <c r="L32" i="1" l="1"/>
  <c r="O31" i="1"/>
  <c r="D46" i="1"/>
  <c r="G45" i="1"/>
  <c r="L33" i="1" l="1"/>
  <c r="O32" i="1"/>
  <c r="D47" i="1"/>
  <c r="G46" i="1"/>
  <c r="O33" i="1" l="1"/>
  <c r="L34" i="1"/>
  <c r="D48" i="1"/>
  <c r="G47" i="1"/>
  <c r="O34" i="1" l="1"/>
  <c r="L35" i="1"/>
  <c r="D49" i="1"/>
  <c r="G48" i="1"/>
  <c r="O35" i="1" l="1"/>
  <c r="L36" i="1"/>
  <c r="D50" i="1"/>
  <c r="G49" i="1"/>
  <c r="O36" i="1" l="1"/>
  <c r="L37" i="1"/>
  <c r="D51" i="1"/>
  <c r="G50" i="1"/>
  <c r="L38" i="1" l="1"/>
  <c r="O37" i="1"/>
  <c r="D52" i="1"/>
  <c r="G51" i="1"/>
  <c r="L39" i="1" l="1"/>
  <c r="O38" i="1"/>
  <c r="D53" i="1"/>
  <c r="G53" i="1" s="1"/>
  <c r="G52" i="1"/>
  <c r="L40" i="1" l="1"/>
  <c r="O39" i="1"/>
  <c r="O40" i="1" l="1"/>
  <c r="L41" i="1"/>
  <c r="L42" i="1" l="1"/>
  <c r="O41" i="1"/>
  <c r="L43" i="1" l="1"/>
  <c r="O43" i="1" s="1"/>
  <c r="O42" i="1"/>
  <c r="L44" i="1" l="1"/>
  <c r="O44" i="1" s="1"/>
  <c r="L45" i="1" l="1"/>
  <c r="O45" i="1" s="1"/>
  <c r="L46" i="1" l="1"/>
  <c r="O46" i="1" s="1"/>
  <c r="L47" i="1" l="1"/>
  <c r="O47" i="1" s="1"/>
  <c r="L48" i="1" l="1"/>
  <c r="L49" i="1" l="1"/>
  <c r="O48" i="1"/>
  <c r="L50" i="1" l="1"/>
  <c r="O49" i="1"/>
  <c r="W49" i="1"/>
  <c r="W50" i="1" l="1"/>
  <c r="L51" i="1"/>
  <c r="O50" i="1"/>
  <c r="L52" i="1" l="1"/>
  <c r="O51" i="1"/>
  <c r="G54" i="1"/>
  <c r="W51" i="1"/>
  <c r="W52" i="1" l="1"/>
  <c r="G55" i="1"/>
  <c r="L53" i="1"/>
  <c r="O52" i="1"/>
  <c r="L54" i="1" l="1"/>
  <c r="O53" i="1"/>
  <c r="G56" i="1"/>
  <c r="T54" i="1"/>
  <c r="W53" i="1"/>
  <c r="T55" i="1" l="1"/>
  <c r="W54" i="1"/>
  <c r="G57" i="1"/>
  <c r="L55" i="1"/>
  <c r="O54" i="1"/>
  <c r="L56" i="1" l="1"/>
  <c r="O55" i="1"/>
  <c r="D59" i="1"/>
  <c r="G58" i="1"/>
  <c r="W55" i="1"/>
  <c r="T56" i="1"/>
  <c r="T57" i="1" l="1"/>
  <c r="W56" i="1"/>
  <c r="D60" i="1"/>
  <c r="G59" i="1"/>
  <c r="O56" i="1"/>
  <c r="L57" i="1"/>
  <c r="L58" i="1" l="1"/>
  <c r="O57" i="1"/>
  <c r="D61" i="1"/>
  <c r="G61" i="1" s="1"/>
  <c r="G60" i="1"/>
  <c r="T58" i="1"/>
  <c r="W57" i="1"/>
  <c r="W58" i="1" l="1"/>
  <c r="T59" i="1"/>
  <c r="L59" i="1"/>
  <c r="O58" i="1"/>
  <c r="O59" i="1" l="1"/>
  <c r="L60" i="1"/>
  <c r="T60" i="1"/>
  <c r="W59" i="1"/>
  <c r="T61" i="1" l="1"/>
  <c r="W61" i="1" s="1"/>
  <c r="W60" i="1"/>
  <c r="L61" i="1"/>
  <c r="O61" i="1" s="1"/>
  <c r="O60" i="1"/>
</calcChain>
</file>

<file path=xl/sharedStrings.xml><?xml version="1.0" encoding="utf-8"?>
<sst xmlns="http://schemas.openxmlformats.org/spreadsheetml/2006/main" count="31" uniqueCount="16">
  <si>
    <t>Yr</t>
  </si>
  <si>
    <t>Age</t>
  </si>
  <si>
    <t>Annual Premium</t>
  </si>
  <si>
    <t>Cum Outlay</t>
  </si>
  <si>
    <t xml:space="preserve">Non Guaranteed Cash Value </t>
  </si>
  <si>
    <t>Death Benefit</t>
  </si>
  <si>
    <t>Net Outlay vs Cash Value</t>
  </si>
  <si>
    <t>Summary purposes only - reference full company illustrations, that must be provided.</t>
  </si>
  <si>
    <t>Don - MassMutual - CONVERSION Option</t>
  </si>
  <si>
    <t>Premium</t>
  </si>
  <si>
    <t>Dividend</t>
  </si>
  <si>
    <t>IncreaseInCashValue</t>
  </si>
  <si>
    <t>CashValue</t>
  </si>
  <si>
    <t>DeathBenefit</t>
  </si>
  <si>
    <t>Lafayette Life Sample</t>
  </si>
  <si>
    <t>MassMutual - New Policy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</si>
</sst>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sz val="14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 tint="-0.249977111117893"/>
      <name val="Arial"/>
      <family val="2"/>
    </font>
    <font>
      <sz val="11"/>
      <color theme="5" tint="-0.249977111117893"/>
      <name val="Arial"/>
      <family val="2"/>
    </font>
    <font>
      <sz val="11"/>
      <color theme="9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D9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 applyAlignment="1">
      <alignment horizontal="right" vertical="center" wrapText="1" indent="1"/>
    </xf>
    <xf numFmtId="3" fontId="2" fillId="2" borderId="0" xfId="0" applyNumberFormat="1" applyFont="1" applyFill="1" applyAlignment="1">
      <alignment horizontal="right" vertical="center" wrapText="1" indent="1"/>
    </xf>
    <xf numFmtId="0" fontId="2" fillId="3" borderId="0" xfId="0" applyFont="1" applyFill="1" applyAlignment="1">
      <alignment horizontal="right" vertical="center" wrapText="1" indent="1"/>
    </xf>
    <xf numFmtId="3" fontId="2" fillId="3" borderId="0" xfId="0" applyNumberFormat="1" applyFont="1" applyFill="1" applyAlignment="1">
      <alignment horizontal="righ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3" fontId="7" fillId="0" borderId="0" xfId="0" applyNumberFormat="1" applyFont="1" applyAlignment="1">
      <alignment horizontal="center" vertical="center" wrapText="1"/>
    </xf>
    <xf numFmtId="168" fontId="8" fillId="0" borderId="0" xfId="1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9" fontId="10" fillId="0" borderId="5" xfId="2" applyFont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0" fillId="6" borderId="0" xfId="0" applyFill="1"/>
    <xf numFmtId="0" fontId="11" fillId="5" borderId="6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168" fontId="8" fillId="0" borderId="7" xfId="1" applyNumberFormat="1" applyFont="1" applyFill="1" applyBorder="1" applyAlignment="1">
      <alignment horizontal="center" vertical="center"/>
    </xf>
    <xf numFmtId="9" fontId="10" fillId="0" borderId="8" xfId="2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3" fontId="10" fillId="0" borderId="7" xfId="0" applyNumberFormat="1" applyFont="1" applyBorder="1" applyAlignment="1">
      <alignment horizontal="center" vertical="center" wrapText="1"/>
    </xf>
    <xf numFmtId="9" fontId="10" fillId="0" borderId="0" xfId="2" applyFont="1" applyBorder="1" applyAlignment="1">
      <alignment horizontal="center" vertical="center" wrapText="1"/>
    </xf>
    <xf numFmtId="9" fontId="10" fillId="0" borderId="7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  <xf numFmtId="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0ea4cd91ed03605/Desktop/Neagra%20Comparison.xlsx" TargetMode="External"/><Relationship Id="rId1" Type="http://schemas.openxmlformats.org/officeDocument/2006/relationships/externalLinkPath" Target="Neagra%20Comparis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lle\Downloads\Dorosh%20Comparison%20(1).xlsx" TargetMode="External"/><Relationship Id="rId1" Type="http://schemas.openxmlformats.org/officeDocument/2006/relationships/externalLinkPath" Target="file:///C:\Users\wille\Downloads\Dorosh%20Comparison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</sheetNames>
    <sheetDataSet>
      <sheetData sheetId="0"/>
      <sheetData sheetId="1"/>
      <sheetData sheetId="2">
        <row r="44">
          <cell r="AT44">
            <v>0</v>
          </cell>
        </row>
        <row r="45">
          <cell r="AT45">
            <v>0</v>
          </cell>
        </row>
        <row r="46">
          <cell r="AT46">
            <v>0</v>
          </cell>
          <cell r="AX46">
            <v>932582</v>
          </cell>
        </row>
        <row r="47">
          <cell r="AT47">
            <v>0</v>
          </cell>
          <cell r="AX47">
            <v>972496</v>
          </cell>
        </row>
        <row r="48">
          <cell r="AT48">
            <v>0</v>
          </cell>
          <cell r="AX48">
            <v>1014135</v>
          </cell>
        </row>
        <row r="49">
          <cell r="AT49">
            <v>0</v>
          </cell>
          <cell r="AX49">
            <v>1057531</v>
          </cell>
        </row>
        <row r="50">
          <cell r="AT50">
            <v>0</v>
          </cell>
          <cell r="AX50">
            <v>1102682</v>
          </cell>
        </row>
        <row r="51">
          <cell r="AT51">
            <v>0</v>
          </cell>
          <cell r="AX51">
            <v>1149654</v>
          </cell>
        </row>
        <row r="52">
          <cell r="Q52">
            <v>1140281</v>
          </cell>
          <cell r="R52">
            <v>1187629</v>
          </cell>
          <cell r="AT52">
            <v>0</v>
          </cell>
          <cell r="AW52">
            <v>1104036</v>
          </cell>
          <cell r="AX52">
            <v>1198515</v>
          </cell>
          <cell r="BG52">
            <v>1150741</v>
          </cell>
          <cell r="BH52">
            <v>1198870</v>
          </cell>
        </row>
        <row r="53">
          <cell r="Q53">
            <v>1196694</v>
          </cell>
          <cell r="R53">
            <v>1237862</v>
          </cell>
          <cell r="AT53">
            <v>0</v>
          </cell>
          <cell r="AW53">
            <v>1158874</v>
          </cell>
          <cell r="AX53">
            <v>1249325</v>
          </cell>
          <cell r="BG53">
            <v>1207333</v>
          </cell>
          <cell r="BH53">
            <v>1249216</v>
          </cell>
        </row>
        <row r="54">
          <cell r="Q54">
            <v>1255553</v>
          </cell>
          <cell r="R54">
            <v>1290097</v>
          </cell>
          <cell r="AT54">
            <v>0</v>
          </cell>
          <cell r="AW54">
            <v>1216094</v>
          </cell>
          <cell r="AX54">
            <v>1302153</v>
          </cell>
          <cell r="BG54">
            <v>1266374</v>
          </cell>
          <cell r="BH54">
            <v>1301567</v>
          </cell>
        </row>
        <row r="55">
          <cell r="Q55">
            <v>1317116</v>
          </cell>
          <cell r="R55">
            <v>1344404</v>
          </cell>
          <cell r="AT55">
            <v>0</v>
          </cell>
          <cell r="AW55">
            <v>1275946</v>
          </cell>
          <cell r="AX55">
            <v>1357071</v>
          </cell>
          <cell r="BG55">
            <v>1328125</v>
          </cell>
          <cell r="BH55">
            <v>1355991</v>
          </cell>
        </row>
        <row r="56">
          <cell r="Q56">
            <v>1381824</v>
          </cell>
          <cell r="R56">
            <v>1400860</v>
          </cell>
          <cell r="AT56">
            <v>0</v>
          </cell>
          <cell r="AW56">
            <v>1338855</v>
          </cell>
          <cell r="AX56">
            <v>1414054</v>
          </cell>
          <cell r="BG56">
            <v>1393028</v>
          </cell>
          <cell r="BH56">
            <v>1412568</v>
          </cell>
        </row>
        <row r="57">
          <cell r="Q57">
            <v>1450168</v>
          </cell>
          <cell r="R57">
            <v>1459437</v>
          </cell>
          <cell r="AT57">
            <v>0</v>
          </cell>
          <cell r="AW57">
            <v>1405300</v>
          </cell>
          <cell r="AX57">
            <v>1473091</v>
          </cell>
          <cell r="BG57">
            <v>1461581</v>
          </cell>
          <cell r="BH57">
            <v>1471270</v>
          </cell>
        </row>
        <row r="58">
          <cell r="Q58">
            <v>1522569</v>
          </cell>
          <cell r="R58">
            <v>1520124</v>
          </cell>
          <cell r="AT58">
            <v>0</v>
          </cell>
          <cell r="AW58">
            <v>1475687</v>
          </cell>
          <cell r="AX58">
            <v>1534058</v>
          </cell>
          <cell r="BG58">
            <v>1534203</v>
          </cell>
          <cell r="BH58">
            <v>1532087</v>
          </cell>
        </row>
        <row r="59">
          <cell r="Q59">
            <v>1600153</v>
          </cell>
          <cell r="R59">
            <v>1582795</v>
          </cell>
          <cell r="AT59">
            <v>0</v>
          </cell>
          <cell r="AW59">
            <v>1551109</v>
          </cell>
          <cell r="AX59">
            <v>1596826</v>
          </cell>
          <cell r="BG59">
            <v>1612030</v>
          </cell>
          <cell r="BH59">
            <v>1594889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sMutual Comparison"/>
      <sheetName val="Updated Comparison"/>
      <sheetName val="IRR Option 1"/>
      <sheetName val="IRR Option 2"/>
      <sheetName val="Illustrations #2"/>
      <sheetName val="Design 1 (OG)"/>
      <sheetName val="Design 2 (OG)"/>
      <sheetName val="Comparison"/>
      <sheetName val="Illustrations 1"/>
      <sheetName val="Illustrations 2"/>
    </sheetNames>
    <sheetDataSet>
      <sheetData sheetId="0"/>
      <sheetData sheetId="1"/>
      <sheetData sheetId="2"/>
      <sheetData sheetId="3"/>
      <sheetData sheetId="4">
        <row r="1">
          <cell r="N1">
            <v>350000</v>
          </cell>
        </row>
      </sheetData>
      <sheetData sheetId="5"/>
      <sheetData sheetId="6"/>
      <sheetData sheetId="7"/>
      <sheetData sheetId="8"/>
      <sheetData sheetId="9">
        <row r="1">
          <cell r="L1">
            <v>350000</v>
          </cell>
        </row>
        <row r="44">
          <cell r="AF44">
            <v>0</v>
          </cell>
        </row>
        <row r="45">
          <cell r="AF45">
            <v>0</v>
          </cell>
        </row>
        <row r="46">
          <cell r="AF46">
            <v>0</v>
          </cell>
        </row>
        <row r="47">
          <cell r="AF47">
            <v>0</v>
          </cell>
        </row>
        <row r="48">
          <cell r="AF48">
            <v>0</v>
          </cell>
        </row>
        <row r="49">
          <cell r="AF49">
            <v>0</v>
          </cell>
        </row>
        <row r="50">
          <cell r="AF50">
            <v>0</v>
          </cell>
        </row>
        <row r="51">
          <cell r="AF51">
            <v>0</v>
          </cell>
        </row>
        <row r="52">
          <cell r="AF52">
            <v>0</v>
          </cell>
        </row>
        <row r="53">
          <cell r="AF53">
            <v>0</v>
          </cell>
        </row>
        <row r="54">
          <cell r="AF54">
            <v>0</v>
          </cell>
        </row>
        <row r="55">
          <cell r="AF55">
            <v>0</v>
          </cell>
        </row>
        <row r="56">
          <cell r="AF56">
            <v>0</v>
          </cell>
        </row>
        <row r="57">
          <cell r="AF57">
            <v>0</v>
          </cell>
        </row>
        <row r="58">
          <cell r="AF58">
            <v>0</v>
          </cell>
        </row>
        <row r="59">
          <cell r="AF5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D1EF-9383-40C2-A2C6-A5E4C9382E2A}">
  <dimension ref="A1:W62"/>
  <sheetViews>
    <sheetView tabSelected="1" workbookViewId="0">
      <selection activeCell="Z6" sqref="Z6"/>
    </sheetView>
  </sheetViews>
  <sheetFormatPr defaultRowHeight="15" x14ac:dyDescent="0.25"/>
  <cols>
    <col min="1" max="2" width="6" customWidth="1"/>
    <col min="4" max="4" width="11.28515625" bestFit="1" customWidth="1"/>
    <col min="5" max="6" width="11" bestFit="1" customWidth="1"/>
    <col min="7" max="7" width="10.42578125" customWidth="1"/>
    <col min="8" max="8" width="3.140625" customWidth="1"/>
    <col min="9" max="10" width="6.28515625" customWidth="1"/>
    <col min="11" max="11" width="9.5703125" customWidth="1"/>
    <col min="12" max="12" width="11.28515625" bestFit="1" customWidth="1"/>
    <col min="13" max="14" width="11" bestFit="1" customWidth="1"/>
    <col min="15" max="15" width="10.42578125" customWidth="1"/>
    <col min="16" max="16" width="5" customWidth="1"/>
    <col min="17" max="18" width="6.28515625" customWidth="1"/>
    <col min="19" max="19" width="9.5703125" customWidth="1"/>
    <col min="20" max="20" width="11.28515625" bestFit="1" customWidth="1"/>
    <col min="21" max="22" width="11" bestFit="1" customWidth="1"/>
    <col min="23" max="23" width="10.42578125" customWidth="1"/>
  </cols>
  <sheetData>
    <row r="1" spans="1:23" ht="18.75" x14ac:dyDescent="0.25">
      <c r="A1" s="5" t="s">
        <v>8</v>
      </c>
      <c r="B1" s="6"/>
      <c r="C1" s="6"/>
      <c r="D1" s="6"/>
      <c r="E1" s="6"/>
      <c r="F1" s="6"/>
      <c r="G1" s="7"/>
      <c r="I1" s="5" t="s">
        <v>15</v>
      </c>
      <c r="J1" s="6"/>
      <c r="K1" s="6"/>
      <c r="L1" s="6"/>
      <c r="M1" s="6"/>
      <c r="N1" s="6"/>
      <c r="O1" s="7"/>
      <c r="Q1" s="5" t="s">
        <v>14</v>
      </c>
      <c r="R1" s="6"/>
      <c r="S1" s="6"/>
      <c r="T1" s="6"/>
      <c r="U1" s="6"/>
      <c r="V1" s="6"/>
      <c r="W1" s="7"/>
    </row>
    <row r="2" spans="1:23" ht="60" x14ac:dyDescent="0.25">
      <c r="A2" s="8" t="s">
        <v>0</v>
      </c>
      <c r="B2" s="9" t="s">
        <v>1</v>
      </c>
      <c r="C2" s="10" t="s">
        <v>2</v>
      </c>
      <c r="D2" s="10" t="s">
        <v>3</v>
      </c>
      <c r="E2" s="11" t="s">
        <v>4</v>
      </c>
      <c r="F2" s="12" t="s">
        <v>5</v>
      </c>
      <c r="G2" s="13" t="s">
        <v>6</v>
      </c>
      <c r="I2" s="8" t="s">
        <v>0</v>
      </c>
      <c r="J2" s="9" t="s">
        <v>1</v>
      </c>
      <c r="K2" s="10" t="s">
        <v>2</v>
      </c>
      <c r="L2" s="10" t="s">
        <v>3</v>
      </c>
      <c r="M2" s="11" t="s">
        <v>4</v>
      </c>
      <c r="N2" s="12" t="s">
        <v>5</v>
      </c>
      <c r="O2" s="13" t="s">
        <v>6</v>
      </c>
      <c r="Q2" s="8" t="s">
        <v>0</v>
      </c>
      <c r="R2" s="9" t="s">
        <v>1</v>
      </c>
      <c r="S2" s="10" t="s">
        <v>2</v>
      </c>
      <c r="T2" s="10" t="s">
        <v>3</v>
      </c>
      <c r="U2" s="11" t="s">
        <v>4</v>
      </c>
      <c r="V2" s="12" t="s">
        <v>5</v>
      </c>
      <c r="W2" s="13" t="s">
        <v>6</v>
      </c>
    </row>
    <row r="3" spans="1:23" x14ac:dyDescent="0.25">
      <c r="A3" s="14">
        <v>1</v>
      </c>
      <c r="B3" s="15">
        <v>39</v>
      </c>
      <c r="C3" s="16">
        <f>Sheet2!E1</f>
        <v>110000</v>
      </c>
      <c r="D3" s="17">
        <f>C3</f>
        <v>110000</v>
      </c>
      <c r="E3" s="18">
        <f>Sheet2!H1</f>
        <v>81247</v>
      </c>
      <c r="F3" s="19">
        <f>Sheet2!I1</f>
        <v>3000000</v>
      </c>
      <c r="G3" s="20">
        <f>E3/D3</f>
        <v>0.73860909090909088</v>
      </c>
      <c r="I3" s="14">
        <v>1</v>
      </c>
      <c r="J3" s="15">
        <f>B3</f>
        <v>39</v>
      </c>
      <c r="K3" s="16">
        <f>Sheet2!O1</f>
        <v>125000</v>
      </c>
      <c r="L3" s="17">
        <f>K3</f>
        <v>125000</v>
      </c>
      <c r="M3" s="18">
        <f>Sheet2!R1</f>
        <v>105843</v>
      </c>
      <c r="N3" s="19">
        <f>Sheet3!F2</f>
        <v>3828852</v>
      </c>
      <c r="O3" s="20">
        <f>M3/L3</f>
        <v>0.84674400000000005</v>
      </c>
      <c r="Q3" s="14">
        <v>1</v>
      </c>
      <c r="R3" s="15">
        <f>J3</f>
        <v>39</v>
      </c>
      <c r="S3" s="16">
        <f>Sheet3!B2</f>
        <v>250000</v>
      </c>
      <c r="T3" s="17">
        <f>S3</f>
        <v>250000</v>
      </c>
      <c r="U3" s="18">
        <f>Sheet3!E2</f>
        <v>233009</v>
      </c>
      <c r="V3" s="19">
        <f>Sheet3!F2</f>
        <v>3828852</v>
      </c>
      <c r="W3" s="20">
        <f>U3/T3</f>
        <v>0.93203599999999998</v>
      </c>
    </row>
    <row r="4" spans="1:23" x14ac:dyDescent="0.25">
      <c r="A4" s="21">
        <v>2</v>
      </c>
      <c r="B4" s="15">
        <f>B3+1</f>
        <v>40</v>
      </c>
      <c r="C4" s="16">
        <f>Sheet2!E2</f>
        <v>110000</v>
      </c>
      <c r="D4" s="17">
        <f>D3+C4</f>
        <v>220000</v>
      </c>
      <c r="E4" s="18">
        <f>Sheet2!H2</f>
        <v>170599</v>
      </c>
      <c r="F4" s="19">
        <f>Sheet2!I2</f>
        <v>3000000</v>
      </c>
      <c r="G4" s="20">
        <f t="shared" ref="G4:G61" si="0">E4/D4</f>
        <v>0.77544999999999997</v>
      </c>
      <c r="I4" s="21">
        <f>I3+1</f>
        <v>2</v>
      </c>
      <c r="J4" s="15">
        <f>J3+1</f>
        <v>40</v>
      </c>
      <c r="K4" s="16">
        <f>Sheet2!O2</f>
        <v>22086</v>
      </c>
      <c r="L4" s="17">
        <f>L3+K4</f>
        <v>147086</v>
      </c>
      <c r="M4" s="18">
        <f>Sheet2!R2</f>
        <v>121273</v>
      </c>
      <c r="N4" s="19">
        <f>Sheet3!F3</f>
        <v>3855691</v>
      </c>
      <c r="O4" s="20">
        <f t="shared" ref="O4:O61" si="1">M4/L4</f>
        <v>0.82450403165495012</v>
      </c>
      <c r="Q4" s="21">
        <f>Q3+1</f>
        <v>2</v>
      </c>
      <c r="R4" s="15">
        <f>R3+1</f>
        <v>40</v>
      </c>
      <c r="S4" s="16">
        <f>Sheet3!B3</f>
        <v>18303</v>
      </c>
      <c r="T4" s="17">
        <f>T3+S4</f>
        <v>268303</v>
      </c>
      <c r="U4" s="18">
        <f>Sheet3!E3</f>
        <v>255004</v>
      </c>
      <c r="V4" s="19">
        <f>Sheet3!F3</f>
        <v>3855691</v>
      </c>
      <c r="W4" s="20">
        <f t="shared" ref="W4:W61" si="2">U4/T4</f>
        <v>0.95043290608006614</v>
      </c>
    </row>
    <row r="5" spans="1:23" x14ac:dyDescent="0.25">
      <c r="A5" s="21">
        <v>3</v>
      </c>
      <c r="B5" s="15">
        <f t="shared" ref="B5:B61" si="3">B4+1</f>
        <v>41</v>
      </c>
      <c r="C5" s="16">
        <f>Sheet2!E3</f>
        <v>30000</v>
      </c>
      <c r="D5" s="17">
        <f t="shared" ref="D5:D53" si="4">D4+C5</f>
        <v>250000</v>
      </c>
      <c r="E5" s="18">
        <f>Sheet2!H3</f>
        <v>200474</v>
      </c>
      <c r="F5" s="19">
        <f>Sheet2!I3</f>
        <v>3000000</v>
      </c>
      <c r="G5" s="20">
        <f t="shared" si="0"/>
        <v>0.80189600000000005</v>
      </c>
      <c r="I5" s="21">
        <f t="shared" ref="I5:J20" si="5">I4+1</f>
        <v>3</v>
      </c>
      <c r="J5" s="15">
        <f t="shared" si="5"/>
        <v>41</v>
      </c>
      <c r="K5" s="16">
        <f>Sheet2!O3</f>
        <v>22086</v>
      </c>
      <c r="L5" s="17">
        <f t="shared" ref="L5:L61" si="6">L4+K5</f>
        <v>169172</v>
      </c>
      <c r="M5" s="18">
        <f>Sheet2!R3</f>
        <v>143085</v>
      </c>
      <c r="N5" s="19">
        <f>Sheet3!F4</f>
        <v>3884615</v>
      </c>
      <c r="O5" s="20">
        <f t="shared" si="1"/>
        <v>0.84579599460903698</v>
      </c>
      <c r="Q5" s="21">
        <f t="shared" ref="Q5:R20" si="7">Q4+1</f>
        <v>3</v>
      </c>
      <c r="R5" s="15">
        <f t="shared" si="7"/>
        <v>41</v>
      </c>
      <c r="S5" s="16">
        <f>Sheet3!B4</f>
        <v>18303</v>
      </c>
      <c r="T5" s="17">
        <f t="shared" ref="T5:T61" si="8">T4+S5</f>
        <v>286606</v>
      </c>
      <c r="U5" s="18">
        <f>Sheet3!E4</f>
        <v>278537</v>
      </c>
      <c r="V5" s="19">
        <f>Sheet3!F4</f>
        <v>3884615</v>
      </c>
      <c r="W5" s="20">
        <f t="shared" si="2"/>
        <v>0.97184636748707287</v>
      </c>
    </row>
    <row r="6" spans="1:23" x14ac:dyDescent="0.25">
      <c r="A6" s="21">
        <v>4</v>
      </c>
      <c r="B6" s="15">
        <f t="shared" si="3"/>
        <v>42</v>
      </c>
      <c r="C6" s="16">
        <f>Sheet2!E4</f>
        <v>24691</v>
      </c>
      <c r="D6" s="17">
        <f t="shared" si="4"/>
        <v>274691</v>
      </c>
      <c r="E6" s="18">
        <f>Sheet2!H4</f>
        <v>231147</v>
      </c>
      <c r="F6" s="19">
        <f>Sheet2!I4</f>
        <v>3000000</v>
      </c>
      <c r="G6" s="20">
        <f t="shared" si="0"/>
        <v>0.84148006305266643</v>
      </c>
      <c r="I6" s="21">
        <f t="shared" si="5"/>
        <v>4</v>
      </c>
      <c r="J6" s="15">
        <f t="shared" si="5"/>
        <v>42</v>
      </c>
      <c r="K6" s="16">
        <f>Sheet2!O4</f>
        <v>22086</v>
      </c>
      <c r="L6" s="17">
        <f t="shared" si="6"/>
        <v>191258</v>
      </c>
      <c r="M6" s="18">
        <f>Sheet2!R4</f>
        <v>168041</v>
      </c>
      <c r="N6" s="19">
        <f>Sheet3!F5</f>
        <v>3915708</v>
      </c>
      <c r="O6" s="20">
        <f t="shared" si="1"/>
        <v>0.87860899936211823</v>
      </c>
      <c r="Q6" s="21">
        <f t="shared" si="7"/>
        <v>4</v>
      </c>
      <c r="R6" s="15">
        <f t="shared" si="7"/>
        <v>42</v>
      </c>
      <c r="S6" s="16">
        <f>Sheet3!B5</f>
        <v>18303</v>
      </c>
      <c r="T6" s="17">
        <f t="shared" si="8"/>
        <v>304909</v>
      </c>
      <c r="U6" s="18">
        <f>Sheet3!E5</f>
        <v>303734</v>
      </c>
      <c r="V6" s="19">
        <f>Sheet3!F5</f>
        <v>3915708</v>
      </c>
      <c r="W6" s="20">
        <f t="shared" si="2"/>
        <v>0.99614639121836346</v>
      </c>
    </row>
    <row r="7" spans="1:23" x14ac:dyDescent="0.25">
      <c r="A7" s="21">
        <v>5</v>
      </c>
      <c r="B7" s="15">
        <f t="shared" si="3"/>
        <v>43</v>
      </c>
      <c r="C7" s="16">
        <f>Sheet2!E5</f>
        <v>24691</v>
      </c>
      <c r="D7" s="17">
        <f t="shared" si="4"/>
        <v>299382</v>
      </c>
      <c r="E7" s="18">
        <f>Sheet2!H5</f>
        <v>263339</v>
      </c>
      <c r="F7" s="19">
        <f>Sheet2!I5</f>
        <v>3000000</v>
      </c>
      <c r="G7" s="20">
        <f t="shared" si="0"/>
        <v>0.87960866050731168</v>
      </c>
      <c r="I7" s="21">
        <f t="shared" si="5"/>
        <v>5</v>
      </c>
      <c r="J7" s="15">
        <f t="shared" si="5"/>
        <v>43</v>
      </c>
      <c r="K7" s="16">
        <f>Sheet2!O5</f>
        <v>22086</v>
      </c>
      <c r="L7" s="17">
        <f t="shared" si="6"/>
        <v>213344</v>
      </c>
      <c r="M7" s="18">
        <f>Sheet2!R5</f>
        <v>194164</v>
      </c>
      <c r="N7" s="19">
        <f>Sheet3!F6</f>
        <v>3949383</v>
      </c>
      <c r="O7" s="20">
        <f t="shared" si="1"/>
        <v>0.91009824508774562</v>
      </c>
      <c r="Q7" s="21">
        <f t="shared" si="7"/>
        <v>5</v>
      </c>
      <c r="R7" s="15">
        <f t="shared" si="7"/>
        <v>43</v>
      </c>
      <c r="S7" s="16">
        <f>Sheet3!B6</f>
        <v>18303</v>
      </c>
      <c r="T7" s="17">
        <f t="shared" si="8"/>
        <v>323212</v>
      </c>
      <c r="U7" s="18">
        <f>Sheet3!E6</f>
        <v>330981</v>
      </c>
      <c r="V7" s="19">
        <f>Sheet3!F6</f>
        <v>3949383</v>
      </c>
      <c r="W7" s="20">
        <f t="shared" si="2"/>
        <v>1.0240368550672623</v>
      </c>
    </row>
    <row r="8" spans="1:23" x14ac:dyDescent="0.25">
      <c r="A8" s="21">
        <v>6</v>
      </c>
      <c r="B8" s="15">
        <f t="shared" si="3"/>
        <v>44</v>
      </c>
      <c r="C8" s="16">
        <f>Sheet2!E6</f>
        <v>24691</v>
      </c>
      <c r="D8" s="17">
        <f t="shared" si="4"/>
        <v>324073</v>
      </c>
      <c r="E8" s="18">
        <f>Sheet2!H6</f>
        <v>297106</v>
      </c>
      <c r="F8" s="19">
        <f>Sheet2!I6</f>
        <v>3000000</v>
      </c>
      <c r="G8" s="20">
        <f t="shared" si="0"/>
        <v>0.91678726706637081</v>
      </c>
      <c r="I8" s="21">
        <f t="shared" si="5"/>
        <v>6</v>
      </c>
      <c r="J8" s="15">
        <f t="shared" si="5"/>
        <v>44</v>
      </c>
      <c r="K8" s="16">
        <f>Sheet2!O6</f>
        <v>22086</v>
      </c>
      <c r="L8" s="17">
        <f t="shared" si="6"/>
        <v>235430</v>
      </c>
      <c r="M8" s="18">
        <f>Sheet2!R6</f>
        <v>221355</v>
      </c>
      <c r="N8" s="19">
        <f>Sheet3!F7</f>
        <v>3986101</v>
      </c>
      <c r="O8" s="20">
        <f t="shared" si="1"/>
        <v>0.94021577538971246</v>
      </c>
      <c r="Q8" s="21">
        <f t="shared" si="7"/>
        <v>6</v>
      </c>
      <c r="R8" s="15">
        <f t="shared" si="7"/>
        <v>44</v>
      </c>
      <c r="S8" s="16">
        <f>Sheet3!B7</f>
        <v>18303</v>
      </c>
      <c r="T8" s="17">
        <f t="shared" si="8"/>
        <v>341515</v>
      </c>
      <c r="U8" s="18">
        <f>Sheet3!E7</f>
        <v>360454</v>
      </c>
      <c r="V8" s="19">
        <f>Sheet3!F7</f>
        <v>3986101</v>
      </c>
      <c r="W8" s="20">
        <f t="shared" si="2"/>
        <v>1.0554558364932727</v>
      </c>
    </row>
    <row r="9" spans="1:23" x14ac:dyDescent="0.25">
      <c r="A9" s="21">
        <v>7</v>
      </c>
      <c r="B9" s="15">
        <f t="shared" si="3"/>
        <v>45</v>
      </c>
      <c r="C9" s="16">
        <f>Sheet2!E7</f>
        <v>24691</v>
      </c>
      <c r="D9" s="17">
        <f t="shared" si="4"/>
        <v>348764</v>
      </c>
      <c r="E9" s="18">
        <f>Sheet2!H7</f>
        <v>332860</v>
      </c>
      <c r="F9" s="19">
        <f>Sheet2!I7</f>
        <v>3000000</v>
      </c>
      <c r="G9" s="20">
        <f t="shared" si="0"/>
        <v>0.95439896319574269</v>
      </c>
      <c r="I9" s="21">
        <f t="shared" si="5"/>
        <v>7</v>
      </c>
      <c r="J9" s="15">
        <f t="shared" si="5"/>
        <v>45</v>
      </c>
      <c r="K9" s="16">
        <f>Sheet2!O7</f>
        <v>22086</v>
      </c>
      <c r="L9" s="17">
        <f t="shared" si="6"/>
        <v>257516</v>
      </c>
      <c r="M9" s="18">
        <f>Sheet2!R7</f>
        <v>249825</v>
      </c>
      <c r="N9" s="19">
        <f>Sheet3!F8</f>
        <v>4025941</v>
      </c>
      <c r="O9" s="20">
        <f t="shared" si="1"/>
        <v>0.97013389459295729</v>
      </c>
      <c r="Q9" s="21">
        <f t="shared" si="7"/>
        <v>7</v>
      </c>
      <c r="R9" s="15">
        <f t="shared" si="7"/>
        <v>45</v>
      </c>
      <c r="S9" s="16">
        <f>Sheet3!B8</f>
        <v>18303</v>
      </c>
      <c r="T9" s="17">
        <f t="shared" si="8"/>
        <v>359818</v>
      </c>
      <c r="U9" s="18">
        <f>Sheet3!E8</f>
        <v>392250</v>
      </c>
      <c r="V9" s="19">
        <f>Sheet3!F8</f>
        <v>4025941</v>
      </c>
      <c r="W9" s="20">
        <f t="shared" si="2"/>
        <v>1.0901344568643037</v>
      </c>
    </row>
    <row r="10" spans="1:23" x14ac:dyDescent="0.25">
      <c r="A10" s="21">
        <v>8</v>
      </c>
      <c r="B10" s="15">
        <f t="shared" si="3"/>
        <v>46</v>
      </c>
      <c r="C10" s="16">
        <f>Sheet2!E8</f>
        <v>24691</v>
      </c>
      <c r="D10" s="17">
        <f t="shared" si="4"/>
        <v>373455</v>
      </c>
      <c r="E10" s="18">
        <f>Sheet2!H8</f>
        <v>370863</v>
      </c>
      <c r="F10" s="19">
        <f>Sheet2!I8</f>
        <v>3000000</v>
      </c>
      <c r="G10" s="20">
        <f t="shared" si="0"/>
        <v>0.99305940474755994</v>
      </c>
      <c r="I10" s="21">
        <f t="shared" si="5"/>
        <v>8</v>
      </c>
      <c r="J10" s="15">
        <f t="shared" si="5"/>
        <v>46</v>
      </c>
      <c r="K10" s="16">
        <f>Sheet2!O8</f>
        <v>22086</v>
      </c>
      <c r="L10" s="17">
        <f t="shared" si="6"/>
        <v>279602</v>
      </c>
      <c r="M10" s="18">
        <f>Sheet2!R8</f>
        <v>279740</v>
      </c>
      <c r="N10" s="19">
        <f>Sheet3!F9</f>
        <v>4068061</v>
      </c>
      <c r="O10" s="20">
        <f t="shared" si="1"/>
        <v>1.0004935587012969</v>
      </c>
      <c r="Q10" s="21">
        <f t="shared" si="7"/>
        <v>8</v>
      </c>
      <c r="R10" s="15">
        <f t="shared" si="7"/>
        <v>46</v>
      </c>
      <c r="S10" s="16">
        <f>Sheet3!B9</f>
        <v>18303</v>
      </c>
      <c r="T10" s="17">
        <f t="shared" si="8"/>
        <v>378121</v>
      </c>
      <c r="U10" s="18">
        <f>Sheet3!E9</f>
        <v>425671</v>
      </c>
      <c r="V10" s="19">
        <f>Sheet3!F9</f>
        <v>4068061</v>
      </c>
      <c r="W10" s="20">
        <f t="shared" si="2"/>
        <v>1.1257533963995652</v>
      </c>
    </row>
    <row r="11" spans="1:23" x14ac:dyDescent="0.25">
      <c r="A11" s="21">
        <v>9</v>
      </c>
      <c r="B11" s="15">
        <f t="shared" si="3"/>
        <v>47</v>
      </c>
      <c r="C11" s="16">
        <f>Sheet2!E9</f>
        <v>24691</v>
      </c>
      <c r="D11" s="17">
        <f t="shared" si="4"/>
        <v>398146</v>
      </c>
      <c r="E11" s="18">
        <f>Sheet2!H9</f>
        <v>411075</v>
      </c>
      <c r="F11" s="19">
        <f>Sheet2!I9</f>
        <v>3000000</v>
      </c>
      <c r="G11" s="20">
        <f t="shared" si="0"/>
        <v>1.0324730124125321</v>
      </c>
      <c r="I11" s="21">
        <f t="shared" si="5"/>
        <v>9</v>
      </c>
      <c r="J11" s="15">
        <f t="shared" si="5"/>
        <v>47</v>
      </c>
      <c r="K11" s="16">
        <f>Sheet2!O9</f>
        <v>22086</v>
      </c>
      <c r="L11" s="17">
        <f t="shared" si="6"/>
        <v>301688</v>
      </c>
      <c r="M11" s="18">
        <f>Sheet2!R9</f>
        <v>311042</v>
      </c>
      <c r="N11" s="19">
        <f>Sheet3!F10</f>
        <v>4111621</v>
      </c>
      <c r="O11" s="20">
        <f t="shared" si="1"/>
        <v>1.0310055421495055</v>
      </c>
      <c r="Q11" s="21">
        <f t="shared" si="7"/>
        <v>9</v>
      </c>
      <c r="R11" s="15">
        <f t="shared" si="7"/>
        <v>47</v>
      </c>
      <c r="S11" s="16">
        <f>Sheet3!B10</f>
        <v>18303</v>
      </c>
      <c r="T11" s="17">
        <f t="shared" si="8"/>
        <v>396424</v>
      </c>
      <c r="U11" s="18">
        <f>Sheet3!E10</f>
        <v>460779</v>
      </c>
      <c r="V11" s="19">
        <f>Sheet3!F10</f>
        <v>4111621</v>
      </c>
      <c r="W11" s="20">
        <f t="shared" si="2"/>
        <v>1.1623388089520312</v>
      </c>
    </row>
    <row r="12" spans="1:23" x14ac:dyDescent="0.25">
      <c r="A12" s="21">
        <v>10</v>
      </c>
      <c r="B12" s="15">
        <f t="shared" si="3"/>
        <v>48</v>
      </c>
      <c r="C12" s="16">
        <f>Sheet2!E10</f>
        <v>24691</v>
      </c>
      <c r="D12" s="17">
        <f t="shared" si="4"/>
        <v>422837</v>
      </c>
      <c r="E12" s="18">
        <f>Sheet2!H10</f>
        <v>453730</v>
      </c>
      <c r="F12" s="19">
        <f>Sheet2!I10</f>
        <v>3000000</v>
      </c>
      <c r="G12" s="20">
        <f t="shared" si="0"/>
        <v>1.0730612505528134</v>
      </c>
      <c r="I12" s="21">
        <f t="shared" si="5"/>
        <v>10</v>
      </c>
      <c r="J12" s="15">
        <f t="shared" si="5"/>
        <v>48</v>
      </c>
      <c r="K12" s="16">
        <f>Sheet2!O10</f>
        <v>22086</v>
      </c>
      <c r="L12" s="17">
        <f t="shared" si="6"/>
        <v>323774</v>
      </c>
      <c r="M12" s="18">
        <f>Sheet2!R10</f>
        <v>343881</v>
      </c>
      <c r="N12" s="19">
        <f>Sheet3!F11</f>
        <v>4156659</v>
      </c>
      <c r="O12" s="20">
        <f t="shared" si="1"/>
        <v>1.0621019600091421</v>
      </c>
      <c r="Q12" s="21">
        <f t="shared" si="7"/>
        <v>10</v>
      </c>
      <c r="R12" s="15">
        <f t="shared" si="7"/>
        <v>48</v>
      </c>
      <c r="S12" s="16">
        <f>Sheet3!B11</f>
        <v>18303</v>
      </c>
      <c r="T12" s="17">
        <f t="shared" si="8"/>
        <v>414727</v>
      </c>
      <c r="U12" s="18">
        <f>Sheet3!E11</f>
        <v>497670</v>
      </c>
      <c r="V12" s="19">
        <f>Sheet3!F11</f>
        <v>4156659</v>
      </c>
      <c r="W12" s="20">
        <f t="shared" si="2"/>
        <v>1.1999942130606398</v>
      </c>
    </row>
    <row r="13" spans="1:23" x14ac:dyDescent="0.25">
      <c r="A13" s="21">
        <v>11</v>
      </c>
      <c r="B13" s="15">
        <f t="shared" si="3"/>
        <v>49</v>
      </c>
      <c r="C13" s="16">
        <f>Sheet2!E11</f>
        <v>24691</v>
      </c>
      <c r="D13" s="17">
        <f t="shared" si="4"/>
        <v>447528</v>
      </c>
      <c r="E13" s="18">
        <f>Sheet2!H11</f>
        <v>499554</v>
      </c>
      <c r="F13" s="19">
        <f>Sheet2!I11</f>
        <v>3000000</v>
      </c>
      <c r="G13" s="20">
        <f t="shared" si="0"/>
        <v>1.1162519440124417</v>
      </c>
      <c r="I13" s="21">
        <f t="shared" si="5"/>
        <v>11</v>
      </c>
      <c r="J13" s="15">
        <f t="shared" si="5"/>
        <v>49</v>
      </c>
      <c r="K13" s="16">
        <f>Sheet2!O11</f>
        <v>22086</v>
      </c>
      <c r="L13" s="17">
        <f t="shared" si="6"/>
        <v>345860</v>
      </c>
      <c r="M13" s="18">
        <f>Sheet2!R11</f>
        <v>378851</v>
      </c>
      <c r="N13" s="19">
        <f>Sheet3!F12</f>
        <v>1228234</v>
      </c>
      <c r="O13" s="20">
        <f t="shared" si="1"/>
        <v>1.0953883074076216</v>
      </c>
      <c r="Q13" s="21">
        <f t="shared" si="7"/>
        <v>11</v>
      </c>
      <c r="R13" s="15">
        <f t="shared" si="7"/>
        <v>49</v>
      </c>
      <c r="S13" s="16">
        <f>Sheet3!B12</f>
        <v>15120</v>
      </c>
      <c r="T13" s="17">
        <f t="shared" si="8"/>
        <v>429847</v>
      </c>
      <c r="U13" s="18">
        <f>Sheet3!E12</f>
        <v>536696</v>
      </c>
      <c r="V13" s="19">
        <f>Sheet3!F12</f>
        <v>1228234</v>
      </c>
      <c r="W13" s="20">
        <f t="shared" si="2"/>
        <v>1.2485744927846421</v>
      </c>
    </row>
    <row r="14" spans="1:23" x14ac:dyDescent="0.25">
      <c r="A14" s="21">
        <v>12</v>
      </c>
      <c r="B14" s="15">
        <f t="shared" si="3"/>
        <v>50</v>
      </c>
      <c r="C14" s="16">
        <f>Sheet2!E12</f>
        <v>24691</v>
      </c>
      <c r="D14" s="17">
        <f t="shared" si="4"/>
        <v>472219</v>
      </c>
      <c r="E14" s="18">
        <f>Sheet2!H12</f>
        <v>548752</v>
      </c>
      <c r="F14" s="19">
        <f>Sheet2!I12</f>
        <v>3000000</v>
      </c>
      <c r="G14" s="20">
        <f t="shared" si="0"/>
        <v>1.1620709882490963</v>
      </c>
      <c r="I14" s="21">
        <f t="shared" si="5"/>
        <v>12</v>
      </c>
      <c r="J14" s="15">
        <f t="shared" si="5"/>
        <v>50</v>
      </c>
      <c r="K14" s="16">
        <f>Sheet2!O12</f>
        <v>22086</v>
      </c>
      <c r="L14" s="17">
        <f t="shared" si="6"/>
        <v>367946</v>
      </c>
      <c r="M14" s="18">
        <f>Sheet2!R12</f>
        <v>416137</v>
      </c>
      <c r="N14" s="19">
        <f>Sheet3!F13</f>
        <v>1276424</v>
      </c>
      <c r="O14" s="20">
        <f t="shared" si="1"/>
        <v>1.1309730232153632</v>
      </c>
      <c r="Q14" s="21">
        <f t="shared" si="7"/>
        <v>12</v>
      </c>
      <c r="R14" s="15">
        <f t="shared" si="7"/>
        <v>50</v>
      </c>
      <c r="S14" s="16">
        <f>Sheet3!B13</f>
        <v>15120</v>
      </c>
      <c r="T14" s="17">
        <f t="shared" si="8"/>
        <v>444967</v>
      </c>
      <c r="U14" s="18">
        <f>Sheet3!E13</f>
        <v>577707</v>
      </c>
      <c r="V14" s="19">
        <f>Sheet3!F13</f>
        <v>1276424</v>
      </c>
      <c r="W14" s="20">
        <f t="shared" si="2"/>
        <v>1.2983142570123178</v>
      </c>
    </row>
    <row r="15" spans="1:23" x14ac:dyDescent="0.25">
      <c r="A15" s="21">
        <v>13</v>
      </c>
      <c r="B15" s="15">
        <f t="shared" si="3"/>
        <v>51</v>
      </c>
      <c r="C15" s="16">
        <f>Sheet2!E13</f>
        <v>24691</v>
      </c>
      <c r="D15" s="17">
        <f t="shared" si="4"/>
        <v>496910</v>
      </c>
      <c r="E15" s="18">
        <f>Sheet2!H13</f>
        <v>601357</v>
      </c>
      <c r="F15" s="19">
        <f>Sheet2!I13</f>
        <v>3000000</v>
      </c>
      <c r="G15" s="20">
        <f t="shared" si="0"/>
        <v>1.2101929926948543</v>
      </c>
      <c r="I15" s="21">
        <f t="shared" si="5"/>
        <v>13</v>
      </c>
      <c r="J15" s="15">
        <f t="shared" si="5"/>
        <v>51</v>
      </c>
      <c r="K15" s="16">
        <f>Sheet2!O13</f>
        <v>22086</v>
      </c>
      <c r="L15" s="17">
        <f t="shared" si="6"/>
        <v>390032</v>
      </c>
      <c r="M15" s="18">
        <f>Sheet2!R13</f>
        <v>455434</v>
      </c>
      <c r="N15" s="19">
        <f>Sheet3!F14</f>
        <v>1326284</v>
      </c>
      <c r="O15" s="20">
        <f t="shared" si="1"/>
        <v>1.1676836772367396</v>
      </c>
      <c r="Q15" s="21">
        <f t="shared" si="7"/>
        <v>13</v>
      </c>
      <c r="R15" s="15">
        <f t="shared" si="7"/>
        <v>51</v>
      </c>
      <c r="S15" s="16">
        <f>Sheet3!B14</f>
        <v>15120</v>
      </c>
      <c r="T15" s="17">
        <f t="shared" si="8"/>
        <v>460087</v>
      </c>
      <c r="U15" s="18">
        <f>Sheet3!E14</f>
        <v>620772</v>
      </c>
      <c r="V15" s="19">
        <f>Sheet3!F14</f>
        <v>1326284</v>
      </c>
      <c r="W15" s="20">
        <f t="shared" si="2"/>
        <v>1.3492491637451178</v>
      </c>
    </row>
    <row r="16" spans="1:23" x14ac:dyDescent="0.25">
      <c r="A16" s="21">
        <v>14</v>
      </c>
      <c r="B16" s="15">
        <f t="shared" si="3"/>
        <v>52</v>
      </c>
      <c r="C16" s="16">
        <f>Sheet2!E14</f>
        <v>24691</v>
      </c>
      <c r="D16" s="17">
        <f t="shared" si="4"/>
        <v>521601</v>
      </c>
      <c r="E16" s="18">
        <f>Sheet2!H14</f>
        <v>657594</v>
      </c>
      <c r="F16" s="19">
        <f>Sheet2!I14</f>
        <v>3000000</v>
      </c>
      <c r="G16" s="20">
        <f t="shared" si="0"/>
        <v>1.26072227622263</v>
      </c>
      <c r="I16" s="21">
        <f t="shared" si="5"/>
        <v>14</v>
      </c>
      <c r="J16" s="15">
        <f t="shared" si="5"/>
        <v>52</v>
      </c>
      <c r="K16" s="16">
        <f>Sheet2!O14</f>
        <v>22086</v>
      </c>
      <c r="L16" s="17">
        <f t="shared" si="6"/>
        <v>412118</v>
      </c>
      <c r="M16" s="18">
        <f>Sheet2!R14</f>
        <v>496860</v>
      </c>
      <c r="N16" s="19">
        <f>Sheet3!F15</f>
        <v>1377892</v>
      </c>
      <c r="O16" s="20">
        <f t="shared" si="1"/>
        <v>1.2056255732581445</v>
      </c>
      <c r="Q16" s="21">
        <f t="shared" si="7"/>
        <v>14</v>
      </c>
      <c r="R16" s="15">
        <f t="shared" si="7"/>
        <v>52</v>
      </c>
      <c r="S16" s="16">
        <f>Sheet3!B15</f>
        <v>15120</v>
      </c>
      <c r="T16" s="17">
        <f t="shared" si="8"/>
        <v>475207</v>
      </c>
      <c r="U16" s="18">
        <f>Sheet3!E15</f>
        <v>665995</v>
      </c>
      <c r="V16" s="19">
        <f>Sheet3!F15</f>
        <v>1377892</v>
      </c>
      <c r="W16" s="20">
        <f t="shared" si="2"/>
        <v>1.4014839848739602</v>
      </c>
    </row>
    <row r="17" spans="1:23" x14ac:dyDescent="0.25">
      <c r="A17" s="21">
        <v>15</v>
      </c>
      <c r="B17" s="15">
        <f t="shared" si="3"/>
        <v>53</v>
      </c>
      <c r="C17" s="16">
        <f>Sheet2!E15</f>
        <v>24691</v>
      </c>
      <c r="D17" s="17">
        <f t="shared" si="4"/>
        <v>546292</v>
      </c>
      <c r="E17" s="18">
        <f>Sheet2!H15</f>
        <v>717737</v>
      </c>
      <c r="F17" s="19">
        <f>Sheet2!I15</f>
        <v>3000000</v>
      </c>
      <c r="G17" s="20">
        <f t="shared" si="0"/>
        <v>1.3138339935419152</v>
      </c>
      <c r="I17" s="21">
        <f t="shared" si="5"/>
        <v>15</v>
      </c>
      <c r="J17" s="15">
        <f t="shared" si="5"/>
        <v>53</v>
      </c>
      <c r="K17" s="16">
        <f>Sheet2!O15</f>
        <v>22086</v>
      </c>
      <c r="L17" s="17">
        <f t="shared" si="6"/>
        <v>434204</v>
      </c>
      <c r="M17" s="18">
        <f>Sheet2!R15</f>
        <v>540546</v>
      </c>
      <c r="N17" s="19">
        <f>Sheet3!F16</f>
        <v>1431367</v>
      </c>
      <c r="O17" s="20">
        <f t="shared" si="1"/>
        <v>1.2449125295943841</v>
      </c>
      <c r="Q17" s="21">
        <f t="shared" si="7"/>
        <v>15</v>
      </c>
      <c r="R17" s="15">
        <f t="shared" si="7"/>
        <v>53</v>
      </c>
      <c r="S17" s="16">
        <f>Sheet3!B16</f>
        <v>15120</v>
      </c>
      <c r="T17" s="17">
        <f t="shared" si="8"/>
        <v>490327</v>
      </c>
      <c r="U17" s="18">
        <f>Sheet3!E16</f>
        <v>713484</v>
      </c>
      <c r="V17" s="19">
        <f>Sheet3!F16</f>
        <v>1431367</v>
      </c>
      <c r="W17" s="20">
        <f t="shared" si="2"/>
        <v>1.4551187268904222</v>
      </c>
    </row>
    <row r="18" spans="1:23" x14ac:dyDescent="0.25">
      <c r="A18" s="21">
        <v>16</v>
      </c>
      <c r="B18" s="15">
        <f t="shared" si="3"/>
        <v>54</v>
      </c>
      <c r="C18" s="16">
        <f>Sheet2!E16</f>
        <v>24691</v>
      </c>
      <c r="D18" s="17">
        <f t="shared" si="4"/>
        <v>570983</v>
      </c>
      <c r="E18" s="18">
        <f>Sheet2!H16</f>
        <v>782230</v>
      </c>
      <c r="F18" s="19">
        <f>Sheet2!I16</f>
        <v>3000000</v>
      </c>
      <c r="G18" s="20">
        <f t="shared" si="0"/>
        <v>1.3699707346803671</v>
      </c>
      <c r="I18" s="21">
        <f t="shared" si="5"/>
        <v>16</v>
      </c>
      <c r="J18" s="15">
        <f t="shared" si="5"/>
        <v>54</v>
      </c>
      <c r="K18" s="16">
        <f>Sheet2!O16</f>
        <v>22086</v>
      </c>
      <c r="L18" s="17">
        <f t="shared" si="6"/>
        <v>456290</v>
      </c>
      <c r="M18" s="18">
        <f>Sheet2!R16</f>
        <v>587256</v>
      </c>
      <c r="N18" s="19">
        <f>Sheet3!F17</f>
        <v>1486788</v>
      </c>
      <c r="O18" s="20">
        <f t="shared" si="1"/>
        <v>1.2870236034101119</v>
      </c>
      <c r="Q18" s="21">
        <f t="shared" si="7"/>
        <v>16</v>
      </c>
      <c r="R18" s="15">
        <f t="shared" si="7"/>
        <v>54</v>
      </c>
      <c r="S18" s="16">
        <f>Sheet3!B17</f>
        <v>15120</v>
      </c>
      <c r="T18" s="17">
        <f t="shared" si="8"/>
        <v>505447</v>
      </c>
      <c r="U18" s="18">
        <f>Sheet3!E17</f>
        <v>763324</v>
      </c>
      <c r="V18" s="19">
        <f>Sheet3!F17</f>
        <v>1486788</v>
      </c>
      <c r="W18" s="20">
        <f t="shared" si="2"/>
        <v>1.5101959255866588</v>
      </c>
    </row>
    <row r="19" spans="1:23" x14ac:dyDescent="0.25">
      <c r="A19" s="21">
        <v>17</v>
      </c>
      <c r="B19" s="15">
        <f t="shared" si="3"/>
        <v>55</v>
      </c>
      <c r="C19" s="16">
        <f>Sheet2!E17</f>
        <v>24691</v>
      </c>
      <c r="D19" s="17">
        <f t="shared" si="4"/>
        <v>595674</v>
      </c>
      <c r="E19" s="18">
        <f>Sheet2!H17</f>
        <v>849998</v>
      </c>
      <c r="F19" s="19">
        <f>Sheet2!I17</f>
        <v>3000000</v>
      </c>
      <c r="G19" s="20">
        <f t="shared" si="0"/>
        <v>1.4269516547641832</v>
      </c>
      <c r="I19" s="21">
        <f t="shared" si="5"/>
        <v>17</v>
      </c>
      <c r="J19" s="15">
        <f t="shared" si="5"/>
        <v>55</v>
      </c>
      <c r="K19" s="16">
        <f>Sheet2!O17</f>
        <v>22086</v>
      </c>
      <c r="L19" s="17">
        <f t="shared" si="6"/>
        <v>478376</v>
      </c>
      <c r="M19" s="18">
        <f>Sheet2!R17</f>
        <v>635949</v>
      </c>
      <c r="N19" s="19">
        <f>Sheet3!F18</f>
        <v>1544186</v>
      </c>
      <c r="O19" s="20">
        <f t="shared" si="1"/>
        <v>1.3293915246584276</v>
      </c>
      <c r="Q19" s="21">
        <f t="shared" si="7"/>
        <v>17</v>
      </c>
      <c r="R19" s="15">
        <f t="shared" si="7"/>
        <v>55</v>
      </c>
      <c r="S19" s="16">
        <f>Sheet3!B18</f>
        <v>15120</v>
      </c>
      <c r="T19" s="17">
        <f t="shared" si="8"/>
        <v>520567</v>
      </c>
      <c r="U19" s="18">
        <f>Sheet3!E18</f>
        <v>815635</v>
      </c>
      <c r="V19" s="19">
        <f>Sheet3!F18</f>
        <v>1544186</v>
      </c>
      <c r="W19" s="20">
        <f t="shared" si="2"/>
        <v>1.5668204092844917</v>
      </c>
    </row>
    <row r="20" spans="1:23" x14ac:dyDescent="0.25">
      <c r="A20" s="21">
        <v>18</v>
      </c>
      <c r="B20" s="15">
        <f t="shared" si="3"/>
        <v>56</v>
      </c>
      <c r="C20" s="16">
        <f>Sheet2!E18</f>
        <v>24691</v>
      </c>
      <c r="D20" s="17">
        <f t="shared" si="4"/>
        <v>620365</v>
      </c>
      <c r="E20" s="18">
        <f>Sheet2!H18</f>
        <v>921221</v>
      </c>
      <c r="F20" s="19">
        <f>Sheet2!I18</f>
        <v>3000000</v>
      </c>
      <c r="G20" s="20">
        <f t="shared" si="0"/>
        <v>1.4849661086618362</v>
      </c>
      <c r="I20" s="21">
        <f t="shared" si="5"/>
        <v>18</v>
      </c>
      <c r="J20" s="15">
        <f t="shared" si="5"/>
        <v>56</v>
      </c>
      <c r="K20" s="16">
        <f>Sheet2!O18</f>
        <v>22086</v>
      </c>
      <c r="L20" s="17">
        <f t="shared" si="6"/>
        <v>500462</v>
      </c>
      <c r="M20" s="18">
        <f>Sheet2!R18</f>
        <v>686668</v>
      </c>
      <c r="N20" s="19">
        <f>Sheet3!F19</f>
        <v>1603572</v>
      </c>
      <c r="O20" s="20">
        <f t="shared" si="1"/>
        <v>1.3720682089749072</v>
      </c>
      <c r="Q20" s="21">
        <f t="shared" si="7"/>
        <v>18</v>
      </c>
      <c r="R20" s="15">
        <f t="shared" si="7"/>
        <v>56</v>
      </c>
      <c r="S20" s="16">
        <f>Sheet3!B19</f>
        <v>15120</v>
      </c>
      <c r="T20" s="17">
        <f t="shared" si="8"/>
        <v>535687</v>
      </c>
      <c r="U20" s="18">
        <f>Sheet3!E19</f>
        <v>870510</v>
      </c>
      <c r="V20" s="19">
        <f>Sheet3!F19</f>
        <v>1603572</v>
      </c>
      <c r="W20" s="20">
        <f t="shared" si="2"/>
        <v>1.625034768437539</v>
      </c>
    </row>
    <row r="21" spans="1:23" x14ac:dyDescent="0.25">
      <c r="A21" s="21">
        <v>19</v>
      </c>
      <c r="B21" s="15">
        <f t="shared" si="3"/>
        <v>57</v>
      </c>
      <c r="C21" s="16">
        <f>Sheet2!E19</f>
        <v>23660</v>
      </c>
      <c r="D21" s="17">
        <f t="shared" si="4"/>
        <v>644025</v>
      </c>
      <c r="E21" s="18">
        <f>Sheet2!H19</f>
        <v>994931</v>
      </c>
      <c r="F21" s="19">
        <f>Sheet2!I19</f>
        <v>3015283</v>
      </c>
      <c r="G21" s="20">
        <f t="shared" si="0"/>
        <v>1.5448639416171732</v>
      </c>
      <c r="I21" s="21">
        <f t="shared" ref="I21:J21" si="9">I20+1</f>
        <v>19</v>
      </c>
      <c r="J21" s="15">
        <f t="shared" si="9"/>
        <v>57</v>
      </c>
      <c r="K21" s="16">
        <f>Sheet2!O19</f>
        <v>22086</v>
      </c>
      <c r="L21" s="17">
        <f t="shared" si="6"/>
        <v>522548</v>
      </c>
      <c r="M21" s="18">
        <f>Sheet2!R19</f>
        <v>739383</v>
      </c>
      <c r="N21" s="19">
        <f>Sheet3!F20</f>
        <v>1664939</v>
      </c>
      <c r="O21" s="20">
        <f t="shared" si="1"/>
        <v>1.4149570948506165</v>
      </c>
      <c r="Q21" s="21">
        <f t="shared" ref="Q21:R21" si="10">Q20+1</f>
        <v>19</v>
      </c>
      <c r="R21" s="15">
        <f t="shared" si="10"/>
        <v>57</v>
      </c>
      <c r="S21" s="16">
        <f>Sheet3!B20</f>
        <v>15120</v>
      </c>
      <c r="T21" s="17">
        <f t="shared" si="8"/>
        <v>550807</v>
      </c>
      <c r="U21" s="18">
        <f>Sheet3!E20</f>
        <v>928038</v>
      </c>
      <c r="V21" s="19">
        <f>Sheet3!F20</f>
        <v>1664939</v>
      </c>
      <c r="W21" s="20">
        <f t="shared" si="2"/>
        <v>1.6848696548881914</v>
      </c>
    </row>
    <row r="22" spans="1:23" x14ac:dyDescent="0.25">
      <c r="A22" s="21">
        <v>20</v>
      </c>
      <c r="B22" s="15">
        <f t="shared" si="3"/>
        <v>58</v>
      </c>
      <c r="C22" s="16">
        <f>Sheet2!E20</f>
        <v>23660</v>
      </c>
      <c r="D22" s="17">
        <f t="shared" si="4"/>
        <v>667685</v>
      </c>
      <c r="E22" s="18">
        <f>Sheet2!H20</f>
        <v>1071952</v>
      </c>
      <c r="F22" s="19">
        <f>Sheet2!I20</f>
        <v>3086994</v>
      </c>
      <c r="G22" s="20">
        <f t="shared" si="0"/>
        <v>1.6054756359660618</v>
      </c>
      <c r="H22" s="22"/>
      <c r="I22" s="21">
        <f t="shared" ref="I22:J22" si="11">I21+1</f>
        <v>20</v>
      </c>
      <c r="J22" s="15">
        <f t="shared" si="11"/>
        <v>58</v>
      </c>
      <c r="K22" s="16">
        <f>Sheet2!O20</f>
        <v>22086</v>
      </c>
      <c r="L22" s="17">
        <f t="shared" si="6"/>
        <v>544634</v>
      </c>
      <c r="M22" s="18">
        <f>Sheet2!R20</f>
        <v>794134</v>
      </c>
      <c r="N22" s="19">
        <f>Sheet3!F21</f>
        <v>1728269</v>
      </c>
      <c r="O22" s="20">
        <f t="shared" si="1"/>
        <v>1.458105810507607</v>
      </c>
      <c r="P22" s="22"/>
      <c r="Q22" s="21">
        <f t="shared" ref="Q22:R22" si="12">Q21+1</f>
        <v>20</v>
      </c>
      <c r="R22" s="15">
        <f t="shared" si="12"/>
        <v>58</v>
      </c>
      <c r="S22" s="16">
        <f>Sheet3!B21</f>
        <v>15120</v>
      </c>
      <c r="T22" s="17">
        <f t="shared" si="8"/>
        <v>565927</v>
      </c>
      <c r="U22" s="18">
        <f>Sheet3!E21</f>
        <v>988336</v>
      </c>
      <c r="V22" s="19">
        <f>Sheet3!F21</f>
        <v>1728269</v>
      </c>
      <c r="W22" s="20">
        <f t="shared" si="2"/>
        <v>1.7464019210958304</v>
      </c>
    </row>
    <row r="23" spans="1:23" x14ac:dyDescent="0.25">
      <c r="A23" s="21">
        <v>21</v>
      </c>
      <c r="B23" s="15">
        <f t="shared" si="3"/>
        <v>59</v>
      </c>
      <c r="C23" s="16">
        <f>Sheet2!E21</f>
        <v>23660</v>
      </c>
      <c r="D23" s="17">
        <f t="shared" si="4"/>
        <v>691345</v>
      </c>
      <c r="E23" s="18">
        <f>Sheet2!H21</f>
        <v>1152219</v>
      </c>
      <c r="F23" s="19">
        <f>Sheet2!I21</f>
        <v>3159766</v>
      </c>
      <c r="G23" s="20">
        <f t="shared" si="0"/>
        <v>1.6666338803347098</v>
      </c>
      <c r="I23" s="21">
        <f t="shared" ref="I23:J23" si="13">I22+1</f>
        <v>21</v>
      </c>
      <c r="J23" s="15">
        <f t="shared" si="13"/>
        <v>59</v>
      </c>
      <c r="K23" s="16">
        <f>Sheet2!O21</f>
        <v>22086</v>
      </c>
      <c r="L23" s="17">
        <f t="shared" si="6"/>
        <v>566720</v>
      </c>
      <c r="M23" s="18">
        <f>Sheet2!R21</f>
        <v>850896</v>
      </c>
      <c r="N23" s="19">
        <f>Sheet3!F22</f>
        <v>1793625</v>
      </c>
      <c r="O23" s="20">
        <f t="shared" si="1"/>
        <v>1.5014398644833427</v>
      </c>
      <c r="Q23" s="21">
        <f t="shared" ref="Q23:R23" si="14">Q22+1</f>
        <v>21</v>
      </c>
      <c r="R23" s="15">
        <f t="shared" si="14"/>
        <v>59</v>
      </c>
      <c r="S23" s="16">
        <f>Sheet3!B22</f>
        <v>15120</v>
      </c>
      <c r="T23" s="17">
        <f t="shared" si="8"/>
        <v>581047</v>
      </c>
      <c r="U23" s="18">
        <f>Sheet3!E22</f>
        <v>1051054</v>
      </c>
      <c r="V23" s="19">
        <f>Sheet3!F22</f>
        <v>1793625</v>
      </c>
      <c r="W23" s="20">
        <f t="shared" si="2"/>
        <v>1.8088966985459007</v>
      </c>
    </row>
    <row r="24" spans="1:23" x14ac:dyDescent="0.25">
      <c r="A24" s="21">
        <v>22</v>
      </c>
      <c r="B24" s="15">
        <f t="shared" si="3"/>
        <v>60</v>
      </c>
      <c r="C24" s="16">
        <f>Sheet2!E22</f>
        <v>23660</v>
      </c>
      <c r="D24" s="17">
        <f t="shared" si="4"/>
        <v>715005</v>
      </c>
      <c r="E24" s="18">
        <f>Sheet2!H22</f>
        <v>1237080</v>
      </c>
      <c r="F24" s="19">
        <f>Sheet2!I22</f>
        <v>3236697</v>
      </c>
      <c r="G24" s="20">
        <f t="shared" si="0"/>
        <v>1.7301697190928735</v>
      </c>
      <c r="I24" s="21">
        <f t="shared" ref="I24:J24" si="15">I23+1</f>
        <v>22</v>
      </c>
      <c r="J24" s="15">
        <f t="shared" si="15"/>
        <v>60</v>
      </c>
      <c r="K24" s="16">
        <f>Sheet2!O22</f>
        <v>22086</v>
      </c>
      <c r="L24" s="17">
        <f t="shared" si="6"/>
        <v>588806</v>
      </c>
      <c r="M24" s="18">
        <f>Sheet2!R22</f>
        <v>910291</v>
      </c>
      <c r="N24" s="19">
        <f>Sheet3!F23</f>
        <v>1861179</v>
      </c>
      <c r="O24" s="20">
        <f t="shared" si="1"/>
        <v>1.5459947758684525</v>
      </c>
      <c r="Q24" s="21">
        <f t="shared" ref="Q24:R24" si="16">Q23+1</f>
        <v>22</v>
      </c>
      <c r="R24" s="15">
        <f t="shared" si="16"/>
        <v>60</v>
      </c>
      <c r="S24" s="16">
        <f>Sheet3!B23</f>
        <v>15120</v>
      </c>
      <c r="T24" s="17">
        <f t="shared" si="8"/>
        <v>596167</v>
      </c>
      <c r="U24" s="18">
        <f>Sheet3!E23</f>
        <v>1116865</v>
      </c>
      <c r="V24" s="19">
        <f>Sheet3!F23</f>
        <v>1861179</v>
      </c>
      <c r="W24" s="20">
        <f t="shared" si="2"/>
        <v>1.873409631864897</v>
      </c>
    </row>
    <row r="25" spans="1:23" x14ac:dyDescent="0.25">
      <c r="A25" s="21">
        <v>23</v>
      </c>
      <c r="B25" s="15">
        <f t="shared" si="3"/>
        <v>61</v>
      </c>
      <c r="C25" s="16">
        <f>Sheet2!E23</f>
        <v>23660</v>
      </c>
      <c r="D25" s="17">
        <f t="shared" si="4"/>
        <v>738665</v>
      </c>
      <c r="E25" s="18">
        <f>Sheet2!H23</f>
        <v>1326835</v>
      </c>
      <c r="F25" s="19">
        <f>Sheet2!I23</f>
        <v>3317248</v>
      </c>
      <c r="G25" s="20">
        <f t="shared" si="0"/>
        <v>1.796260821888136</v>
      </c>
      <c r="I25" s="21">
        <f t="shared" ref="I25:J25" si="17">I24+1</f>
        <v>23</v>
      </c>
      <c r="J25" s="15">
        <f t="shared" si="17"/>
        <v>61</v>
      </c>
      <c r="K25" s="16">
        <f>Sheet2!O23</f>
        <v>22086</v>
      </c>
      <c r="L25" s="17">
        <f t="shared" si="6"/>
        <v>610892</v>
      </c>
      <c r="M25" s="18">
        <f>Sheet2!R23</f>
        <v>972465</v>
      </c>
      <c r="N25" s="19">
        <f>Sheet3!F24</f>
        <v>1931080</v>
      </c>
      <c r="O25" s="20">
        <f t="shared" si="1"/>
        <v>1.5918771239433485</v>
      </c>
      <c r="Q25" s="21">
        <f t="shared" ref="Q25:R25" si="18">Q24+1</f>
        <v>23</v>
      </c>
      <c r="R25" s="15">
        <f t="shared" si="18"/>
        <v>61</v>
      </c>
      <c r="S25" s="16">
        <f>Sheet3!B24</f>
        <v>15120</v>
      </c>
      <c r="T25" s="17">
        <f t="shared" si="8"/>
        <v>611287</v>
      </c>
      <c r="U25" s="18">
        <f>Sheet3!E24</f>
        <v>1185902</v>
      </c>
      <c r="V25" s="19">
        <f>Sheet3!F24</f>
        <v>1931080</v>
      </c>
      <c r="W25" s="20">
        <f t="shared" si="2"/>
        <v>1.9400085393603987</v>
      </c>
    </row>
    <row r="26" spans="1:23" x14ac:dyDescent="0.25">
      <c r="A26" s="21">
        <v>24</v>
      </c>
      <c r="B26" s="15">
        <f t="shared" si="3"/>
        <v>62</v>
      </c>
      <c r="C26" s="16">
        <f>Sheet2!E24</f>
        <v>23660</v>
      </c>
      <c r="D26" s="17">
        <f t="shared" si="4"/>
        <v>762325</v>
      </c>
      <c r="E26" s="18">
        <f>Sheet2!H24</f>
        <v>1421724</v>
      </c>
      <c r="F26" s="19">
        <f>Sheet2!I24</f>
        <v>3401852</v>
      </c>
      <c r="G26" s="20">
        <f t="shared" si="0"/>
        <v>1.8649840947102614</v>
      </c>
      <c r="I26" s="21">
        <f t="shared" ref="I26:J26" si="19">I25+1</f>
        <v>24</v>
      </c>
      <c r="J26" s="15">
        <f t="shared" si="19"/>
        <v>62</v>
      </c>
      <c r="K26" s="16">
        <f>Sheet2!O24</f>
        <v>22086</v>
      </c>
      <c r="L26" s="17">
        <f t="shared" si="6"/>
        <v>632978</v>
      </c>
      <c r="M26" s="18">
        <f>Sheet2!R24</f>
        <v>1037481</v>
      </c>
      <c r="N26" s="19">
        <f>Sheet3!F25</f>
        <v>2003443</v>
      </c>
      <c r="O26" s="20">
        <f t="shared" si="1"/>
        <v>1.6390474866425058</v>
      </c>
      <c r="Q26" s="21">
        <f t="shared" ref="Q26:R26" si="20">Q25+1</f>
        <v>24</v>
      </c>
      <c r="R26" s="15">
        <f t="shared" si="20"/>
        <v>62</v>
      </c>
      <c r="S26" s="16">
        <f>Sheet3!B25</f>
        <v>15120</v>
      </c>
      <c r="T26" s="17">
        <f t="shared" si="8"/>
        <v>626407</v>
      </c>
      <c r="U26" s="18">
        <f>Sheet3!E25</f>
        <v>1258246</v>
      </c>
      <c r="V26" s="19">
        <f>Sheet3!F25</f>
        <v>2003443</v>
      </c>
      <c r="W26" s="20">
        <f t="shared" si="2"/>
        <v>2.0086716783177709</v>
      </c>
    </row>
    <row r="27" spans="1:23" x14ac:dyDescent="0.25">
      <c r="A27" s="21">
        <v>25</v>
      </c>
      <c r="B27" s="15">
        <f t="shared" si="3"/>
        <v>63</v>
      </c>
      <c r="C27" s="16">
        <f>Sheet2!E25</f>
        <v>23660</v>
      </c>
      <c r="D27" s="17">
        <f t="shared" si="4"/>
        <v>785985</v>
      </c>
      <c r="E27" s="18">
        <f>Sheet2!H25</f>
        <v>1521837</v>
      </c>
      <c r="F27" s="19">
        <f>Sheet2!I25</f>
        <v>3490649</v>
      </c>
      <c r="G27" s="20">
        <f t="shared" si="0"/>
        <v>1.9362163400064887</v>
      </c>
      <c r="H27" s="22"/>
      <c r="I27" s="21">
        <f t="shared" ref="I27:J27" si="21">I26+1</f>
        <v>25</v>
      </c>
      <c r="J27" s="15">
        <f t="shared" si="21"/>
        <v>63</v>
      </c>
      <c r="K27" s="16">
        <f>Sheet2!O25</f>
        <v>22086</v>
      </c>
      <c r="L27" s="17">
        <f t="shared" si="6"/>
        <v>655064</v>
      </c>
      <c r="M27" s="18">
        <f>Sheet2!R25</f>
        <v>1105197</v>
      </c>
      <c r="N27" s="19">
        <f>Sheet3!F26</f>
        <v>2078345</v>
      </c>
      <c r="O27" s="20">
        <f t="shared" si="1"/>
        <v>1.6871588119634111</v>
      </c>
      <c r="P27" s="22"/>
      <c r="Q27" s="21">
        <f t="shared" ref="Q27:R27" si="22">Q26+1</f>
        <v>25</v>
      </c>
      <c r="R27" s="15">
        <f t="shared" si="22"/>
        <v>63</v>
      </c>
      <c r="S27" s="16">
        <f>Sheet3!B26</f>
        <v>15120</v>
      </c>
      <c r="T27" s="17">
        <f t="shared" si="8"/>
        <v>641527</v>
      </c>
      <c r="U27" s="18">
        <f>Sheet3!E26</f>
        <v>1334022</v>
      </c>
      <c r="V27" s="19">
        <f>Sheet3!F26</f>
        <v>2078345</v>
      </c>
      <c r="W27" s="20">
        <f t="shared" si="2"/>
        <v>2.0794479421754657</v>
      </c>
    </row>
    <row r="28" spans="1:23" x14ac:dyDescent="0.25">
      <c r="A28" s="21">
        <v>26</v>
      </c>
      <c r="B28" s="15">
        <f t="shared" si="3"/>
        <v>64</v>
      </c>
      <c r="C28" s="16">
        <f>Sheet2!E26</f>
        <v>23660</v>
      </c>
      <c r="D28" s="17">
        <f t="shared" si="4"/>
        <v>809645</v>
      </c>
      <c r="E28" s="18">
        <f>Sheet2!H26</f>
        <v>1627285</v>
      </c>
      <c r="F28" s="19">
        <f>Sheet2!I26</f>
        <v>3583565</v>
      </c>
      <c r="G28" s="20">
        <f t="shared" si="0"/>
        <v>2.0098746981701856</v>
      </c>
      <c r="I28" s="21">
        <f t="shared" ref="I28:J28" si="23">I27+1</f>
        <v>26</v>
      </c>
      <c r="J28" s="15">
        <f t="shared" si="23"/>
        <v>64</v>
      </c>
      <c r="K28" s="16">
        <f>Sheet2!O26</f>
        <v>22086</v>
      </c>
      <c r="L28" s="17">
        <f t="shared" si="6"/>
        <v>677150</v>
      </c>
      <c r="M28" s="18">
        <f>Sheet2!R26</f>
        <v>1175734</v>
      </c>
      <c r="N28" s="19">
        <f>Sheet3!F27</f>
        <v>2155882</v>
      </c>
      <c r="O28" s="20">
        <f t="shared" si="1"/>
        <v>1.7362977183784982</v>
      </c>
      <c r="Q28" s="21">
        <f t="shared" ref="Q28:R28" si="24">Q27+1</f>
        <v>26</v>
      </c>
      <c r="R28" s="15">
        <f t="shared" si="24"/>
        <v>64</v>
      </c>
      <c r="S28" s="16">
        <f>Sheet3!B27</f>
        <v>15120</v>
      </c>
      <c r="T28" s="17">
        <f t="shared" si="8"/>
        <v>656647</v>
      </c>
      <c r="U28" s="18">
        <f>Sheet3!E27</f>
        <v>1413348</v>
      </c>
      <c r="V28" s="19">
        <f>Sheet3!F27</f>
        <v>2155882</v>
      </c>
      <c r="W28" s="20">
        <f t="shared" si="2"/>
        <v>2.1523710608591831</v>
      </c>
    </row>
    <row r="29" spans="1:23" x14ac:dyDescent="0.25">
      <c r="A29" s="21">
        <v>27</v>
      </c>
      <c r="B29" s="15">
        <f t="shared" si="3"/>
        <v>65</v>
      </c>
      <c r="C29" s="16">
        <f>Sheet2!E27</f>
        <v>0</v>
      </c>
      <c r="D29" s="17">
        <f t="shared" si="4"/>
        <v>809645</v>
      </c>
      <c r="E29" s="18">
        <f>Sheet2!H27</f>
        <v>1707382</v>
      </c>
      <c r="F29" s="19">
        <f>Sheet2!I27</f>
        <v>3290261</v>
      </c>
      <c r="G29" s="20">
        <f t="shared" si="0"/>
        <v>2.1088032409265791</v>
      </c>
      <c r="I29" s="21">
        <f t="shared" ref="I29:J29" si="25">I28+1</f>
        <v>27</v>
      </c>
      <c r="J29" s="15">
        <f t="shared" si="25"/>
        <v>65</v>
      </c>
      <c r="K29" s="16">
        <f>Sheet2!O27</f>
        <v>0</v>
      </c>
      <c r="L29" s="17">
        <f t="shared" si="6"/>
        <v>677150</v>
      </c>
      <c r="M29" s="18">
        <f>Sheet2!R27</f>
        <v>1233602</v>
      </c>
      <c r="N29" s="19">
        <f>Sheet3!F28</f>
        <v>2236159</v>
      </c>
      <c r="O29" s="20">
        <f t="shared" si="1"/>
        <v>1.8217558886509635</v>
      </c>
      <c r="Q29" s="21">
        <f t="shared" ref="Q29:R29" si="26">Q28+1</f>
        <v>27</v>
      </c>
      <c r="R29" s="15">
        <f t="shared" si="26"/>
        <v>65</v>
      </c>
      <c r="S29" s="16">
        <f>Sheet3!B28</f>
        <v>15120</v>
      </c>
      <c r="T29" s="17">
        <f t="shared" si="8"/>
        <v>671767</v>
      </c>
      <c r="U29" s="18">
        <f>Sheet3!E28</f>
        <v>1496401</v>
      </c>
      <c r="V29" s="19">
        <f>Sheet3!F28</f>
        <v>2236159</v>
      </c>
      <c r="W29" s="20">
        <f t="shared" si="2"/>
        <v>2.2275595556197314</v>
      </c>
    </row>
    <row r="30" spans="1:23" x14ac:dyDescent="0.25">
      <c r="A30" s="21">
        <v>28</v>
      </c>
      <c r="B30" s="15">
        <f t="shared" si="3"/>
        <v>66</v>
      </c>
      <c r="C30" s="16">
        <f>Sheet2!E28</f>
        <v>0</v>
      </c>
      <c r="D30" s="17">
        <f t="shared" si="4"/>
        <v>809645</v>
      </c>
      <c r="E30" s="18">
        <f>Sheet2!H28</f>
        <v>1791370</v>
      </c>
      <c r="F30" s="19">
        <f>Sheet2!I28</f>
        <v>3359533</v>
      </c>
      <c r="G30" s="20">
        <f t="shared" si="0"/>
        <v>2.2125375936367173</v>
      </c>
      <c r="I30" s="21">
        <f t="shared" ref="I30:J30" si="27">I29+1</f>
        <v>28</v>
      </c>
      <c r="J30" s="15">
        <f t="shared" si="27"/>
        <v>66</v>
      </c>
      <c r="K30" s="16">
        <f>Sheet2!O28</f>
        <v>0</v>
      </c>
      <c r="L30" s="17">
        <f t="shared" si="6"/>
        <v>677150</v>
      </c>
      <c r="M30" s="18">
        <f>Sheet2!R28</f>
        <v>1294282</v>
      </c>
      <c r="N30" s="19">
        <f>Sheet3!F29</f>
        <v>2236354</v>
      </c>
      <c r="O30" s="20">
        <f t="shared" si="1"/>
        <v>1.9113667577346229</v>
      </c>
      <c r="Q30" s="21">
        <f t="shared" ref="Q30:R30" si="28">Q29+1</f>
        <v>28</v>
      </c>
      <c r="R30" s="15">
        <f t="shared" si="28"/>
        <v>66</v>
      </c>
      <c r="S30" s="16">
        <f>Sheet3!B29</f>
        <v>0</v>
      </c>
      <c r="T30" s="17">
        <f t="shared" si="8"/>
        <v>671767</v>
      </c>
      <c r="U30" s="18">
        <f>Sheet3!E29</f>
        <v>1566546</v>
      </c>
      <c r="V30" s="19">
        <f>Sheet3!F29</f>
        <v>2236354</v>
      </c>
      <c r="W30" s="20">
        <f t="shared" si="2"/>
        <v>2.3319782007749712</v>
      </c>
    </row>
    <row r="31" spans="1:23" x14ac:dyDescent="0.25">
      <c r="A31" s="21">
        <v>29</v>
      </c>
      <c r="B31" s="15">
        <f t="shared" si="3"/>
        <v>67</v>
      </c>
      <c r="C31" s="16">
        <f>Sheet2!E29</f>
        <v>0</v>
      </c>
      <c r="D31" s="17">
        <f t="shared" si="4"/>
        <v>809645</v>
      </c>
      <c r="E31" s="18">
        <f>Sheet2!H29</f>
        <v>1879310</v>
      </c>
      <c r="F31" s="19">
        <f>Sheet2!I29</f>
        <v>3431339</v>
      </c>
      <c r="G31" s="20">
        <f t="shared" si="0"/>
        <v>2.3211530979626875</v>
      </c>
      <c r="I31" s="21">
        <f t="shared" ref="I31:J31" si="29">I30+1</f>
        <v>29</v>
      </c>
      <c r="J31" s="15">
        <f t="shared" si="29"/>
        <v>67</v>
      </c>
      <c r="K31" s="16">
        <f>Sheet2!O29</f>
        <v>0</v>
      </c>
      <c r="L31" s="17">
        <f t="shared" si="6"/>
        <v>677150</v>
      </c>
      <c r="M31" s="18">
        <f>Sheet2!R29</f>
        <v>1357816</v>
      </c>
      <c r="N31" s="19">
        <f>Sheet3!F30</f>
        <v>2304962</v>
      </c>
      <c r="O31" s="20">
        <f t="shared" si="1"/>
        <v>2.0051923502916638</v>
      </c>
      <c r="Q31" s="21">
        <f t="shared" ref="Q31:R31" si="30">Q30+1</f>
        <v>29</v>
      </c>
      <c r="R31" s="15">
        <f t="shared" si="30"/>
        <v>67</v>
      </c>
      <c r="S31" s="16">
        <f>Sheet3!B30</f>
        <v>0</v>
      </c>
      <c r="T31" s="17">
        <f t="shared" si="8"/>
        <v>671767</v>
      </c>
      <c r="U31" s="18">
        <f>Sheet3!E30</f>
        <v>1639846</v>
      </c>
      <c r="V31" s="19">
        <f>Sheet3!F30</f>
        <v>2304962</v>
      </c>
      <c r="W31" s="20">
        <f t="shared" si="2"/>
        <v>2.4410934148298442</v>
      </c>
    </row>
    <row r="32" spans="1:23" x14ac:dyDescent="0.25">
      <c r="A32" s="21">
        <v>30</v>
      </c>
      <c r="B32" s="15">
        <f t="shared" si="3"/>
        <v>68</v>
      </c>
      <c r="C32" s="16">
        <f>Sheet2!E30</f>
        <v>0</v>
      </c>
      <c r="D32" s="17">
        <f t="shared" si="4"/>
        <v>809645</v>
      </c>
      <c r="E32" s="18">
        <f>Sheet2!H30</f>
        <v>1971494</v>
      </c>
      <c r="F32" s="19">
        <f>Sheet2!I30</f>
        <v>3505813</v>
      </c>
      <c r="G32" s="20">
        <f t="shared" si="0"/>
        <v>2.4350104057951323</v>
      </c>
      <c r="H32" s="22"/>
      <c r="I32" s="21">
        <f t="shared" ref="I32:J32" si="31">I31+1</f>
        <v>30</v>
      </c>
      <c r="J32" s="15">
        <f t="shared" si="31"/>
        <v>68</v>
      </c>
      <c r="K32" s="16">
        <f>Sheet2!O30</f>
        <v>0</v>
      </c>
      <c r="L32" s="17">
        <f t="shared" si="6"/>
        <v>677150</v>
      </c>
      <c r="M32" s="18">
        <f>Sheet2!R30</f>
        <v>1424417</v>
      </c>
      <c r="N32" s="19">
        <f>Sheet3!F31</f>
        <v>2375979</v>
      </c>
      <c r="O32" s="20">
        <f t="shared" si="1"/>
        <v>2.1035472199660341</v>
      </c>
      <c r="P32" s="22"/>
      <c r="Q32" s="21">
        <f t="shared" ref="Q32:R32" si="32">Q31+1</f>
        <v>30</v>
      </c>
      <c r="R32" s="15">
        <f t="shared" si="32"/>
        <v>68</v>
      </c>
      <c r="S32" s="16">
        <f>Sheet3!B31</f>
        <v>0</v>
      </c>
      <c r="T32" s="17">
        <f t="shared" si="8"/>
        <v>671767</v>
      </c>
      <c r="U32" s="18">
        <f>Sheet3!E31</f>
        <v>1716493</v>
      </c>
      <c r="V32" s="19">
        <f>Sheet3!F31</f>
        <v>2375979</v>
      </c>
      <c r="W32" s="20">
        <f t="shared" si="2"/>
        <v>2.5551910111690512</v>
      </c>
    </row>
    <row r="33" spans="1:23" x14ac:dyDescent="0.25">
      <c r="A33" s="21">
        <v>31</v>
      </c>
      <c r="B33" s="15">
        <f t="shared" si="3"/>
        <v>69</v>
      </c>
      <c r="C33" s="16">
        <f>Sheet2!E31</f>
        <v>0</v>
      </c>
      <c r="D33" s="17">
        <f t="shared" si="4"/>
        <v>809645</v>
      </c>
      <c r="E33" s="18">
        <f>Sheet2!H31</f>
        <v>2068130</v>
      </c>
      <c r="F33" s="19">
        <f>Sheet2!I31</f>
        <v>3583038</v>
      </c>
      <c r="G33" s="20">
        <f t="shared" si="0"/>
        <v>2.5543664198506755</v>
      </c>
      <c r="I33" s="21">
        <f t="shared" ref="I33:J33" si="33">I32+1</f>
        <v>31</v>
      </c>
      <c r="J33" s="15">
        <f t="shared" si="33"/>
        <v>69</v>
      </c>
      <c r="K33" s="16">
        <f>Sheet2!O31</f>
        <v>0</v>
      </c>
      <c r="L33" s="17">
        <f t="shared" si="6"/>
        <v>677150</v>
      </c>
      <c r="M33" s="18">
        <f>Sheet2!R31</f>
        <v>1494234</v>
      </c>
      <c r="N33" s="19">
        <f>Sheet3!F32</f>
        <v>2449482</v>
      </c>
      <c r="O33" s="20">
        <f t="shared" si="1"/>
        <v>2.2066514066307317</v>
      </c>
      <c r="Q33" s="21">
        <f t="shared" ref="Q33:R33" si="34">Q32+1</f>
        <v>31</v>
      </c>
      <c r="R33" s="15">
        <f t="shared" si="34"/>
        <v>69</v>
      </c>
      <c r="S33" s="16">
        <f>Sheet3!B32</f>
        <v>0</v>
      </c>
      <c r="T33" s="17">
        <f t="shared" si="8"/>
        <v>671767</v>
      </c>
      <c r="U33" s="18">
        <f>Sheet3!E32</f>
        <v>1796546</v>
      </c>
      <c r="V33" s="19">
        <f>Sheet3!F32</f>
        <v>2449482</v>
      </c>
      <c r="W33" s="20">
        <f t="shared" si="2"/>
        <v>2.6743588178639319</v>
      </c>
    </row>
    <row r="34" spans="1:23" x14ac:dyDescent="0.25">
      <c r="A34" s="21">
        <v>32</v>
      </c>
      <c r="B34" s="15">
        <f t="shared" si="3"/>
        <v>70</v>
      </c>
      <c r="C34" s="16">
        <f>Sheet2!E32</f>
        <v>0</v>
      </c>
      <c r="D34" s="17">
        <f t="shared" si="4"/>
        <v>809645</v>
      </c>
      <c r="E34" s="18">
        <f>Sheet2!H32</f>
        <v>2169221</v>
      </c>
      <c r="F34" s="19">
        <f>Sheet2!I32</f>
        <v>3662864</v>
      </c>
      <c r="G34" s="20">
        <f t="shared" si="0"/>
        <v>2.6792248454569596</v>
      </c>
      <c r="I34" s="21">
        <f t="shared" ref="I34:J34" si="35">I33+1</f>
        <v>32</v>
      </c>
      <c r="J34" s="15">
        <f t="shared" si="35"/>
        <v>70</v>
      </c>
      <c r="K34" s="16">
        <f>Sheet2!O32</f>
        <v>0</v>
      </c>
      <c r="L34" s="17">
        <f t="shared" si="6"/>
        <v>677150</v>
      </c>
      <c r="M34" s="18">
        <f>Sheet2!R32</f>
        <v>1567270</v>
      </c>
      <c r="N34" s="19">
        <f>Sheet3!F33</f>
        <v>2525563</v>
      </c>
      <c r="O34" s="20">
        <f t="shared" si="1"/>
        <v>2.3145093406187698</v>
      </c>
      <c r="Q34" s="21">
        <f t="shared" ref="Q34:R34" si="36">Q33+1</f>
        <v>32</v>
      </c>
      <c r="R34" s="15">
        <f t="shared" si="36"/>
        <v>70</v>
      </c>
      <c r="S34" s="16">
        <f>Sheet3!B33</f>
        <v>0</v>
      </c>
      <c r="T34" s="17">
        <f t="shared" si="8"/>
        <v>671767</v>
      </c>
      <c r="U34" s="18">
        <f>Sheet3!E33</f>
        <v>1880165</v>
      </c>
      <c r="V34" s="19">
        <f>Sheet3!F33</f>
        <v>2525563</v>
      </c>
      <c r="W34" s="20">
        <f t="shared" si="2"/>
        <v>2.7988350127350703</v>
      </c>
    </row>
    <row r="35" spans="1:23" x14ac:dyDescent="0.25">
      <c r="A35" s="21">
        <v>33</v>
      </c>
      <c r="B35" s="15">
        <f t="shared" si="3"/>
        <v>71</v>
      </c>
      <c r="C35" s="16">
        <f>Sheet2!E33</f>
        <v>0</v>
      </c>
      <c r="D35" s="17">
        <f t="shared" si="4"/>
        <v>809645</v>
      </c>
      <c r="E35" s="18">
        <f>Sheet2!H33</f>
        <v>2274981</v>
      </c>
      <c r="F35" s="19">
        <f>Sheet2!I33</f>
        <v>3745626</v>
      </c>
      <c r="G35" s="20">
        <f t="shared" si="0"/>
        <v>2.8098499959858949</v>
      </c>
      <c r="I35" s="21">
        <f t="shared" ref="I35:J35" si="37">I34+1</f>
        <v>33</v>
      </c>
      <c r="J35" s="15">
        <f t="shared" si="37"/>
        <v>71</v>
      </c>
      <c r="K35" s="16">
        <f>Sheet2!O33</f>
        <v>0</v>
      </c>
      <c r="L35" s="17">
        <f t="shared" si="6"/>
        <v>677150</v>
      </c>
      <c r="M35" s="18">
        <f>Sheet2!R33</f>
        <v>1643679</v>
      </c>
      <c r="N35" s="19">
        <f>Sheet3!F34</f>
        <v>2604338</v>
      </c>
      <c r="O35" s="20">
        <f t="shared" si="1"/>
        <v>2.4273484456915013</v>
      </c>
      <c r="Q35" s="21">
        <f t="shared" ref="Q35:R35" si="38">Q34+1</f>
        <v>33</v>
      </c>
      <c r="R35" s="15">
        <f t="shared" si="38"/>
        <v>71</v>
      </c>
      <c r="S35" s="16">
        <f>Sheet3!B34</f>
        <v>0</v>
      </c>
      <c r="T35" s="17">
        <f t="shared" si="8"/>
        <v>671767</v>
      </c>
      <c r="U35" s="18">
        <f>Sheet3!E34</f>
        <v>1967426</v>
      </c>
      <c r="V35" s="19">
        <f>Sheet3!F34</f>
        <v>2604338</v>
      </c>
      <c r="W35" s="20">
        <f t="shared" si="2"/>
        <v>2.9287327302472437</v>
      </c>
    </row>
    <row r="36" spans="1:23" x14ac:dyDescent="0.25">
      <c r="A36" s="21">
        <v>34</v>
      </c>
      <c r="B36" s="15">
        <f t="shared" si="3"/>
        <v>72</v>
      </c>
      <c r="C36" s="16">
        <f>Sheet2!E34</f>
        <v>0</v>
      </c>
      <c r="D36" s="17">
        <f t="shared" si="4"/>
        <v>809645</v>
      </c>
      <c r="E36" s="18">
        <f>Sheet2!H34</f>
        <v>2385510</v>
      </c>
      <c r="F36" s="19">
        <f>Sheet2!I34</f>
        <v>3831590</v>
      </c>
      <c r="G36" s="20">
        <f t="shared" si="0"/>
        <v>2.9463653823589353</v>
      </c>
      <c r="I36" s="21">
        <f t="shared" ref="I36:J36" si="39">I35+1</f>
        <v>34</v>
      </c>
      <c r="J36" s="15">
        <f t="shared" si="39"/>
        <v>72</v>
      </c>
      <c r="K36" s="16">
        <f>Sheet2!O34</f>
        <v>0</v>
      </c>
      <c r="L36" s="17">
        <f t="shared" si="6"/>
        <v>677150</v>
      </c>
      <c r="M36" s="18">
        <f>Sheet2!R34</f>
        <v>1723534</v>
      </c>
      <c r="N36" s="19">
        <f>Sheet3!F35</f>
        <v>2685959</v>
      </c>
      <c r="O36" s="20">
        <f t="shared" si="1"/>
        <v>2.5452765266189177</v>
      </c>
      <c r="Q36" s="21">
        <f t="shared" ref="Q36:R36" si="40">Q35+1</f>
        <v>34</v>
      </c>
      <c r="R36" s="15">
        <f t="shared" si="40"/>
        <v>72</v>
      </c>
      <c r="S36" s="16">
        <f>Sheet3!B35</f>
        <v>0</v>
      </c>
      <c r="T36" s="17">
        <f t="shared" si="8"/>
        <v>671767</v>
      </c>
      <c r="U36" s="18">
        <f>Sheet3!E35</f>
        <v>2058454</v>
      </c>
      <c r="V36" s="19">
        <f>Sheet3!F35</f>
        <v>2685959</v>
      </c>
      <c r="W36" s="20">
        <f t="shared" si="2"/>
        <v>3.0642380468227821</v>
      </c>
    </row>
    <row r="37" spans="1:23" x14ac:dyDescent="0.25">
      <c r="A37" s="21">
        <v>35</v>
      </c>
      <c r="B37" s="15">
        <f t="shared" si="3"/>
        <v>73</v>
      </c>
      <c r="C37" s="16">
        <f>Sheet2!E35</f>
        <v>0</v>
      </c>
      <c r="D37" s="17">
        <f t="shared" si="4"/>
        <v>809645</v>
      </c>
      <c r="E37" s="18">
        <f>Sheet2!H35</f>
        <v>2500755</v>
      </c>
      <c r="F37" s="19">
        <f>Sheet2!I35</f>
        <v>3920847</v>
      </c>
      <c r="G37" s="20">
        <f t="shared" si="0"/>
        <v>3.0887055437877096</v>
      </c>
      <c r="H37" s="22"/>
      <c r="I37" s="21">
        <f t="shared" ref="I37:J37" si="41">I36+1</f>
        <v>35</v>
      </c>
      <c r="J37" s="15">
        <f t="shared" si="41"/>
        <v>73</v>
      </c>
      <c r="K37" s="16">
        <f>Sheet2!O35</f>
        <v>0</v>
      </c>
      <c r="L37" s="17">
        <f t="shared" si="6"/>
        <v>677150</v>
      </c>
      <c r="M37" s="18">
        <f>Sheet2!R35</f>
        <v>1806796</v>
      </c>
      <c r="N37" s="19">
        <f>Sheet3!F36</f>
        <v>2770552</v>
      </c>
      <c r="O37" s="20">
        <f t="shared" si="1"/>
        <v>2.6682359890718454</v>
      </c>
      <c r="P37" s="22"/>
      <c r="Q37" s="21">
        <f t="shared" ref="Q37:R37" si="42">Q36+1</f>
        <v>35</v>
      </c>
      <c r="R37" s="15">
        <f t="shared" si="42"/>
        <v>73</v>
      </c>
      <c r="S37" s="16">
        <f>Sheet3!B36</f>
        <v>0</v>
      </c>
      <c r="T37" s="17">
        <f t="shared" si="8"/>
        <v>671767</v>
      </c>
      <c r="U37" s="18">
        <f>Sheet3!E36</f>
        <v>2153281</v>
      </c>
      <c r="V37" s="19">
        <f>Sheet3!F36</f>
        <v>2770552</v>
      </c>
      <c r="W37" s="20">
        <f t="shared" si="2"/>
        <v>3.2053985980258037</v>
      </c>
    </row>
    <row r="38" spans="1:23" x14ac:dyDescent="0.25">
      <c r="A38" s="21">
        <v>36</v>
      </c>
      <c r="B38" s="15">
        <f t="shared" si="3"/>
        <v>74</v>
      </c>
      <c r="C38" s="16">
        <f>Sheet2!E36</f>
        <v>0</v>
      </c>
      <c r="D38" s="17">
        <f t="shared" si="4"/>
        <v>809645</v>
      </c>
      <c r="E38" s="18">
        <f>Sheet2!H36</f>
        <v>2620752</v>
      </c>
      <c r="F38" s="19">
        <f>Sheet2!I36</f>
        <v>4013588</v>
      </c>
      <c r="G38" s="20">
        <f t="shared" si="0"/>
        <v>3.2369149442039413</v>
      </c>
      <c r="I38" s="21">
        <f t="shared" ref="I38:J38" si="43">I37+1</f>
        <v>36</v>
      </c>
      <c r="J38" s="15">
        <f t="shared" si="43"/>
        <v>74</v>
      </c>
      <c r="K38" s="16">
        <f>Sheet2!O36</f>
        <v>0</v>
      </c>
      <c r="L38" s="17">
        <f t="shared" si="6"/>
        <v>677150</v>
      </c>
      <c r="M38" s="18">
        <f>Sheet2!R36</f>
        <v>1893491</v>
      </c>
      <c r="N38" s="19">
        <f>Sheet3!F37</f>
        <v>2858237</v>
      </c>
      <c r="O38" s="20">
        <f t="shared" si="1"/>
        <v>2.7962652292697334</v>
      </c>
      <c r="Q38" s="21">
        <f t="shared" ref="Q38:R38" si="44">Q37+1</f>
        <v>36</v>
      </c>
      <c r="R38" s="15">
        <f t="shared" si="44"/>
        <v>74</v>
      </c>
      <c r="S38" s="16">
        <f>Sheet3!B37</f>
        <v>0</v>
      </c>
      <c r="T38" s="17">
        <f t="shared" si="8"/>
        <v>671767</v>
      </c>
      <c r="U38" s="18">
        <f>Sheet3!E37</f>
        <v>2252013</v>
      </c>
      <c r="V38" s="19">
        <f>Sheet3!F37</f>
        <v>2858237</v>
      </c>
      <c r="W38" s="20">
        <f t="shared" si="2"/>
        <v>3.3523721766624441</v>
      </c>
    </row>
    <row r="39" spans="1:23" x14ac:dyDescent="0.25">
      <c r="A39" s="21">
        <v>37</v>
      </c>
      <c r="B39" s="15">
        <f t="shared" si="3"/>
        <v>75</v>
      </c>
      <c r="C39" s="16">
        <f>Sheet2!E37</f>
        <v>0</v>
      </c>
      <c r="D39" s="17">
        <f t="shared" si="4"/>
        <v>809645</v>
      </c>
      <c r="E39" s="18">
        <f>Sheet2!H37</f>
        <v>2745646</v>
      </c>
      <c r="F39" s="19">
        <f>Sheet2!I37</f>
        <v>4110003</v>
      </c>
      <c r="G39" s="20">
        <f t="shared" si="0"/>
        <v>3.3911726744437378</v>
      </c>
      <c r="I39" s="21">
        <f t="shared" ref="I39:J39" si="45">I38+1</f>
        <v>37</v>
      </c>
      <c r="J39" s="15">
        <f t="shared" si="45"/>
        <v>75</v>
      </c>
      <c r="K39" s="16">
        <f>Sheet2!O37</f>
        <v>0</v>
      </c>
      <c r="L39" s="17">
        <f t="shared" si="6"/>
        <v>677150</v>
      </c>
      <c r="M39" s="18">
        <f>Sheet2!R37</f>
        <v>1983724</v>
      </c>
      <c r="N39" s="19">
        <f>Sheet3!F38</f>
        <v>2949121</v>
      </c>
      <c r="O39" s="20">
        <f t="shared" si="1"/>
        <v>2.9295193088680498</v>
      </c>
      <c r="Q39" s="21">
        <f t="shared" ref="Q39:R39" si="46">Q38+1</f>
        <v>37</v>
      </c>
      <c r="R39" s="15">
        <f t="shared" si="46"/>
        <v>75</v>
      </c>
      <c r="S39" s="16">
        <f>Sheet3!B38</f>
        <v>0</v>
      </c>
      <c r="T39" s="17">
        <f t="shared" si="8"/>
        <v>671767</v>
      </c>
      <c r="U39" s="18">
        <f>Sheet3!E38</f>
        <v>2354713</v>
      </c>
      <c r="V39" s="19">
        <f>Sheet3!F38</f>
        <v>2949121</v>
      </c>
      <c r="W39" s="20">
        <f t="shared" si="2"/>
        <v>3.5052525652495583</v>
      </c>
    </row>
    <row r="40" spans="1:23" x14ac:dyDescent="0.25">
      <c r="A40" s="21">
        <v>38</v>
      </c>
      <c r="B40" s="15">
        <f t="shared" si="3"/>
        <v>76</v>
      </c>
      <c r="C40" s="16">
        <f>Sheet2!E38</f>
        <v>0</v>
      </c>
      <c r="D40" s="17">
        <f t="shared" si="4"/>
        <v>809645</v>
      </c>
      <c r="E40" s="18">
        <f>Sheet2!H38</f>
        <v>2875456</v>
      </c>
      <c r="F40" s="19">
        <f>Sheet2!I38</f>
        <v>4210038</v>
      </c>
      <c r="G40" s="20">
        <f t="shared" si="0"/>
        <v>3.5515022015821751</v>
      </c>
      <c r="I40" s="21">
        <f t="shared" ref="I40:J40" si="47">I39+1</f>
        <v>38</v>
      </c>
      <c r="J40" s="15">
        <f t="shared" si="47"/>
        <v>76</v>
      </c>
      <c r="K40" s="16">
        <f>Sheet2!O38</f>
        <v>0</v>
      </c>
      <c r="L40" s="17">
        <f t="shared" si="6"/>
        <v>677150</v>
      </c>
      <c r="M40" s="18">
        <f>Sheet2!R38</f>
        <v>2077508</v>
      </c>
      <c r="N40" s="19">
        <f>Sheet3!F39</f>
        <v>3043328</v>
      </c>
      <c r="O40" s="20">
        <f t="shared" si="1"/>
        <v>3.0680174259765192</v>
      </c>
      <c r="Q40" s="21">
        <f t="shared" ref="Q40:R40" si="48">Q39+1</f>
        <v>38</v>
      </c>
      <c r="R40" s="15">
        <f t="shared" si="48"/>
        <v>76</v>
      </c>
      <c r="S40" s="16">
        <f>Sheet3!B39</f>
        <v>0</v>
      </c>
      <c r="T40" s="17">
        <f t="shared" si="8"/>
        <v>671767</v>
      </c>
      <c r="U40" s="18">
        <f>Sheet3!E39</f>
        <v>2461543</v>
      </c>
      <c r="V40" s="19">
        <f>Sheet3!F39</f>
        <v>3043328</v>
      </c>
      <c r="W40" s="20">
        <f t="shared" si="2"/>
        <v>3.6642809188304875</v>
      </c>
    </row>
    <row r="41" spans="1:23" x14ac:dyDescent="0.25">
      <c r="A41" s="21">
        <v>39</v>
      </c>
      <c r="B41" s="15">
        <f t="shared" si="3"/>
        <v>77</v>
      </c>
      <c r="C41" s="16">
        <f>Sheet2!E39</f>
        <v>0</v>
      </c>
      <c r="D41" s="17">
        <f t="shared" si="4"/>
        <v>809645</v>
      </c>
      <c r="E41" s="18">
        <f>Sheet2!H39</f>
        <v>3010439</v>
      </c>
      <c r="F41" s="19">
        <f>Sheet2!I39</f>
        <v>4313753</v>
      </c>
      <c r="G41" s="20">
        <f t="shared" si="0"/>
        <v>3.7182209486873878</v>
      </c>
      <c r="I41" s="21">
        <f t="shared" ref="I41:J41" si="49">I40+1</f>
        <v>39</v>
      </c>
      <c r="J41" s="15">
        <f t="shared" si="49"/>
        <v>77</v>
      </c>
      <c r="K41" s="16">
        <f>Sheet2!O39</f>
        <v>0</v>
      </c>
      <c r="L41" s="17">
        <f t="shared" si="6"/>
        <v>677150</v>
      </c>
      <c r="M41" s="18">
        <f>Sheet2!R39</f>
        <v>2175030</v>
      </c>
      <c r="N41" s="19">
        <f>Sheet3!F40</f>
        <v>3140984</v>
      </c>
      <c r="O41" s="20">
        <f t="shared" si="1"/>
        <v>3.2120357380196412</v>
      </c>
      <c r="Q41" s="21">
        <f t="shared" ref="Q41:R41" si="50">Q40+1</f>
        <v>39</v>
      </c>
      <c r="R41" s="15">
        <f t="shared" si="50"/>
        <v>77</v>
      </c>
      <c r="S41" s="16">
        <f>Sheet3!B40</f>
        <v>0</v>
      </c>
      <c r="T41" s="17">
        <f t="shared" si="8"/>
        <v>671767</v>
      </c>
      <c r="U41" s="18">
        <f>Sheet3!E40</f>
        <v>2572665</v>
      </c>
      <c r="V41" s="19">
        <f>Sheet3!F40</f>
        <v>3140984</v>
      </c>
      <c r="W41" s="20">
        <f t="shared" si="2"/>
        <v>3.8296983924485724</v>
      </c>
    </row>
    <row r="42" spans="1:23" x14ac:dyDescent="0.25">
      <c r="A42" s="21">
        <v>40</v>
      </c>
      <c r="B42" s="15">
        <f t="shared" si="3"/>
        <v>78</v>
      </c>
      <c r="C42" s="16">
        <f>Sheet2!E40</f>
        <v>0</v>
      </c>
      <c r="D42" s="17">
        <f t="shared" si="4"/>
        <v>809645</v>
      </c>
      <c r="E42" s="18">
        <f>Sheet2!H40</f>
        <v>3150557</v>
      </c>
      <c r="F42" s="19">
        <f>Sheet2!I40</f>
        <v>4420904</v>
      </c>
      <c r="G42" s="20">
        <f t="shared" si="0"/>
        <v>3.8912819816092239</v>
      </c>
      <c r="H42" s="22"/>
      <c r="I42" s="21">
        <f t="shared" ref="I42:J42" si="51">I41+1</f>
        <v>40</v>
      </c>
      <c r="J42" s="15">
        <f t="shared" si="51"/>
        <v>78</v>
      </c>
      <c r="K42" s="16">
        <f>Sheet2!O40</f>
        <v>0</v>
      </c>
      <c r="L42" s="17">
        <f t="shared" si="6"/>
        <v>677150</v>
      </c>
      <c r="M42" s="18">
        <f>Sheet2!R40</f>
        <v>2276262</v>
      </c>
      <c r="N42" s="19">
        <f>Sheet3!F41</f>
        <v>3242248</v>
      </c>
      <c r="O42" s="20">
        <f t="shared" si="1"/>
        <v>3.3615328952226244</v>
      </c>
      <c r="P42" s="22"/>
      <c r="Q42" s="21">
        <f t="shared" ref="Q42:R42" si="52">Q41+1</f>
        <v>40</v>
      </c>
      <c r="R42" s="15">
        <f t="shared" si="52"/>
        <v>78</v>
      </c>
      <c r="S42" s="16">
        <f>Sheet3!B41</f>
        <v>0</v>
      </c>
      <c r="T42" s="17">
        <f t="shared" si="8"/>
        <v>671767</v>
      </c>
      <c r="U42" s="18">
        <f>Sheet3!E41</f>
        <v>2688246</v>
      </c>
      <c r="V42" s="19">
        <f>Sheet3!F41</f>
        <v>3242248</v>
      </c>
      <c r="W42" s="20">
        <f t="shared" si="2"/>
        <v>4.0017535842040468</v>
      </c>
    </row>
    <row r="43" spans="1:23" x14ac:dyDescent="0.25">
      <c r="A43" s="21">
        <v>41</v>
      </c>
      <c r="B43" s="15">
        <f t="shared" si="3"/>
        <v>79</v>
      </c>
      <c r="C43" s="16">
        <f>Sheet2!E41</f>
        <v>0</v>
      </c>
      <c r="D43" s="17">
        <f t="shared" si="4"/>
        <v>809645</v>
      </c>
      <c r="E43" s="18">
        <f>Sheet2!H41</f>
        <v>3295681</v>
      </c>
      <c r="F43" s="19">
        <f>Sheet2!I41</f>
        <v>4531017</v>
      </c>
      <c r="G43" s="20">
        <f t="shared" si="0"/>
        <v>4.0705259712590083</v>
      </c>
      <c r="I43" s="21">
        <f t="shared" ref="I43:J43" si="53">I42+1</f>
        <v>41</v>
      </c>
      <c r="J43" s="15">
        <f t="shared" si="53"/>
        <v>79</v>
      </c>
      <c r="K43" s="16">
        <f>Sheet2!O41</f>
        <v>0</v>
      </c>
      <c r="L43" s="17">
        <f t="shared" si="6"/>
        <v>677150</v>
      </c>
      <c r="M43" s="18">
        <f>Sheet2!R41</f>
        <v>2381110</v>
      </c>
      <c r="N43" s="19">
        <f>Sheet3!F42</f>
        <v>3347292</v>
      </c>
      <c r="O43" s="20">
        <f t="shared" si="1"/>
        <v>3.5163700804843829</v>
      </c>
      <c r="Q43" s="21">
        <f t="shared" ref="Q43:R43" si="54">Q42+1</f>
        <v>41</v>
      </c>
      <c r="R43" s="15">
        <f t="shared" si="54"/>
        <v>79</v>
      </c>
      <c r="S43" s="16">
        <f>Sheet3!B42</f>
        <v>0</v>
      </c>
      <c r="T43" s="17">
        <f t="shared" si="8"/>
        <v>671767</v>
      </c>
      <c r="U43" s="18">
        <f>Sheet3!E42</f>
        <v>2808489</v>
      </c>
      <c r="V43" s="19">
        <f>Sheet3!F42</f>
        <v>3347292</v>
      </c>
      <c r="W43" s="20">
        <f t="shared" si="2"/>
        <v>4.1807486822067768</v>
      </c>
    </row>
    <row r="44" spans="1:23" x14ac:dyDescent="0.25">
      <c r="A44" s="21">
        <v>42</v>
      </c>
      <c r="B44" s="15">
        <f t="shared" si="3"/>
        <v>80</v>
      </c>
      <c r="C44" s="16">
        <f>Sheet2!E42</f>
        <v>0</v>
      </c>
      <c r="D44" s="17">
        <f t="shared" si="4"/>
        <v>809645</v>
      </c>
      <c r="E44" s="18">
        <f>Sheet2!H42</f>
        <v>3446138</v>
      </c>
      <c r="F44" s="19">
        <f>Sheet2!I42</f>
        <v>4644578</v>
      </c>
      <c r="G44" s="20">
        <f t="shared" si="0"/>
        <v>4.256356798349894</v>
      </c>
      <c r="I44" s="21">
        <f t="shared" ref="I44:J44" si="55">I43+1</f>
        <v>42</v>
      </c>
      <c r="J44" s="15">
        <f t="shared" si="55"/>
        <v>80</v>
      </c>
      <c r="K44" s="16">
        <f>Sheet2!O42</f>
        <v>0</v>
      </c>
      <c r="L44" s="17">
        <f t="shared" si="6"/>
        <v>677150</v>
      </c>
      <c r="M44" s="18">
        <f>Sheet2!R42</f>
        <v>2489811</v>
      </c>
      <c r="N44" s="19">
        <f>Sheet3!F43</f>
        <v>3456289</v>
      </c>
      <c r="O44" s="20">
        <f t="shared" si="1"/>
        <v>3.6768972901129735</v>
      </c>
      <c r="Q44" s="21">
        <f t="shared" ref="Q44:R44" si="56">Q43+1</f>
        <v>42</v>
      </c>
      <c r="R44" s="15">
        <f t="shared" si="56"/>
        <v>80</v>
      </c>
      <c r="S44" s="16">
        <f>Sheet3!B43</f>
        <v>0</v>
      </c>
      <c r="T44" s="17">
        <f t="shared" si="8"/>
        <v>671767</v>
      </c>
      <c r="U44" s="18">
        <f>Sheet3!E43</f>
        <v>2933432</v>
      </c>
      <c r="V44" s="19">
        <f>Sheet3!F43</f>
        <v>3456289</v>
      </c>
      <c r="W44" s="20">
        <f t="shared" si="2"/>
        <v>4.3667402536891515</v>
      </c>
    </row>
    <row r="45" spans="1:23" x14ac:dyDescent="0.25">
      <c r="A45" s="21">
        <v>43</v>
      </c>
      <c r="B45" s="15">
        <f t="shared" si="3"/>
        <v>81</v>
      </c>
      <c r="C45" s="16">
        <f>Sheet2!E43</f>
        <v>0</v>
      </c>
      <c r="D45" s="17">
        <f t="shared" si="4"/>
        <v>809645</v>
      </c>
      <c r="E45" s="18">
        <f>Sheet2!H43</f>
        <v>3601945</v>
      </c>
      <c r="F45" s="19">
        <f>Sheet2!I43</f>
        <v>4761643</v>
      </c>
      <c r="G45" s="20">
        <f t="shared" si="0"/>
        <v>4.4487954597385277</v>
      </c>
      <c r="I45" s="21">
        <f t="shared" ref="I45:J45" si="57">I44+1</f>
        <v>43</v>
      </c>
      <c r="J45" s="15">
        <f t="shared" si="57"/>
        <v>81</v>
      </c>
      <c r="K45" s="16">
        <f>Sheet2!O43</f>
        <v>0</v>
      </c>
      <c r="L45" s="17">
        <f t="shared" si="6"/>
        <v>677150</v>
      </c>
      <c r="M45" s="18">
        <f>Sheet2!R43</f>
        <v>2602378</v>
      </c>
      <c r="N45" s="19">
        <f>Sheet3!F44</f>
        <v>3569366</v>
      </c>
      <c r="O45" s="20">
        <f t="shared" si="1"/>
        <v>3.8431337222181199</v>
      </c>
      <c r="Q45" s="21">
        <f t="shared" ref="Q45:R45" si="58">Q44+1</f>
        <v>43</v>
      </c>
      <c r="R45" s="15">
        <f t="shared" si="58"/>
        <v>81</v>
      </c>
      <c r="S45" s="16">
        <f>Sheet3!B44</f>
        <v>0</v>
      </c>
      <c r="T45" s="17">
        <f t="shared" si="8"/>
        <v>671767</v>
      </c>
      <c r="U45" s="18">
        <f>Sheet3!E44</f>
        <v>3063152</v>
      </c>
      <c r="V45" s="19">
        <f>Sheet3!F44</f>
        <v>3569366</v>
      </c>
      <c r="W45" s="20">
        <f t="shared" si="2"/>
        <v>4.5598429217273253</v>
      </c>
    </row>
    <row r="46" spans="1:23" x14ac:dyDescent="0.25">
      <c r="A46" s="21">
        <v>44</v>
      </c>
      <c r="B46" s="15">
        <f t="shared" si="3"/>
        <v>82</v>
      </c>
      <c r="C46" s="16">
        <f>[1]Sheet2!AT44</f>
        <v>0</v>
      </c>
      <c r="D46" s="17">
        <f t="shared" si="4"/>
        <v>809645</v>
      </c>
      <c r="E46" s="18">
        <f>Sheet2!H44</f>
        <v>3762938</v>
      </c>
      <c r="F46" s="19">
        <f>Sheet2!I44</f>
        <v>4882304</v>
      </c>
      <c r="G46" s="20">
        <f t="shared" si="0"/>
        <v>4.6476393975137249</v>
      </c>
      <c r="I46" s="21">
        <f t="shared" ref="I46:J46" si="59">I45+1</f>
        <v>44</v>
      </c>
      <c r="J46" s="15">
        <f t="shared" si="59"/>
        <v>82</v>
      </c>
      <c r="K46" s="16">
        <f>'[2]Illustrations 2'!AF44</f>
        <v>0</v>
      </c>
      <c r="L46" s="17">
        <f t="shared" si="6"/>
        <v>677150</v>
      </c>
      <c r="M46" s="18">
        <f>Sheet2!R44</f>
        <v>2718692</v>
      </c>
      <c r="N46" s="19">
        <f>Sheet3!F45</f>
        <v>3686679</v>
      </c>
      <c r="O46" s="20">
        <f t="shared" si="1"/>
        <v>4.0149036402569589</v>
      </c>
      <c r="Q46" s="21">
        <f t="shared" ref="Q46:R46" si="60">Q45+1</f>
        <v>44</v>
      </c>
      <c r="R46" s="15">
        <f t="shared" si="60"/>
        <v>82</v>
      </c>
      <c r="S46" s="16">
        <f>Sheet3!B45</f>
        <v>0</v>
      </c>
      <c r="T46" s="17">
        <f t="shared" si="8"/>
        <v>671767</v>
      </c>
      <c r="U46" s="18">
        <f>Sheet3!E45</f>
        <v>3197722</v>
      </c>
      <c r="V46" s="19">
        <f>Sheet3!F45</f>
        <v>3686679</v>
      </c>
      <c r="W46" s="20">
        <f t="shared" si="2"/>
        <v>4.7601653549519405</v>
      </c>
    </row>
    <row r="47" spans="1:23" x14ac:dyDescent="0.25">
      <c r="A47" s="21">
        <v>45</v>
      </c>
      <c r="B47" s="15">
        <f t="shared" si="3"/>
        <v>83</v>
      </c>
      <c r="C47" s="16">
        <f>[1]Sheet2!AT45</f>
        <v>0</v>
      </c>
      <c r="D47" s="17">
        <f t="shared" si="4"/>
        <v>809645</v>
      </c>
      <c r="E47" s="18">
        <f>Sheet2!H45</f>
        <v>3929226</v>
      </c>
      <c r="F47" s="19">
        <f>Sheet2!I45</f>
        <v>5006532</v>
      </c>
      <c r="G47" s="20">
        <f t="shared" si="0"/>
        <v>4.8530232385798717</v>
      </c>
      <c r="I47" s="21">
        <f t="shared" ref="I47:J47" si="61">I46+1</f>
        <v>45</v>
      </c>
      <c r="J47" s="15">
        <f t="shared" si="61"/>
        <v>83</v>
      </c>
      <c r="K47" s="16">
        <f>'[2]Illustrations 2'!AF45</f>
        <v>0</v>
      </c>
      <c r="L47" s="17">
        <f t="shared" si="6"/>
        <v>677150</v>
      </c>
      <c r="M47" s="18">
        <f>Sheet2!R45</f>
        <v>2838830</v>
      </c>
      <c r="N47" s="19">
        <f>Sheet3!F46</f>
        <v>3808371</v>
      </c>
      <c r="O47" s="20">
        <f t="shared" si="1"/>
        <v>4.1923207561101679</v>
      </c>
      <c r="Q47" s="21">
        <f t="shared" ref="Q47:R47" si="62">Q46+1</f>
        <v>45</v>
      </c>
      <c r="R47" s="15">
        <f t="shared" si="62"/>
        <v>83</v>
      </c>
      <c r="S47" s="16">
        <f>Sheet3!B46</f>
        <v>0</v>
      </c>
      <c r="T47" s="17">
        <f t="shared" si="8"/>
        <v>671767</v>
      </c>
      <c r="U47" s="18">
        <f>Sheet3!E46</f>
        <v>3337177</v>
      </c>
      <c r="V47" s="19">
        <f>Sheet3!F46</f>
        <v>3808371</v>
      </c>
      <c r="W47" s="20">
        <f t="shared" si="2"/>
        <v>4.9677596547612488</v>
      </c>
    </row>
    <row r="48" spans="1:23" x14ac:dyDescent="0.25">
      <c r="A48" s="21">
        <v>46</v>
      </c>
      <c r="B48" s="15">
        <f t="shared" si="3"/>
        <v>84</v>
      </c>
      <c r="C48" s="16">
        <f>[1]Sheet2!AT46</f>
        <v>0</v>
      </c>
      <c r="D48" s="17">
        <f t="shared" si="4"/>
        <v>809645</v>
      </c>
      <c r="E48" s="18">
        <f>Sheet2!H46</f>
        <v>4100746</v>
      </c>
      <c r="F48" s="19">
        <f>[1]Sheet2!AX46</f>
        <v>932582</v>
      </c>
      <c r="G48" s="20">
        <f t="shared" si="0"/>
        <v>5.0648691710564506</v>
      </c>
      <c r="I48" s="21">
        <f t="shared" ref="I48:J48" si="63">I47+1</f>
        <v>46</v>
      </c>
      <c r="J48" s="15">
        <f t="shared" si="63"/>
        <v>84</v>
      </c>
      <c r="K48" s="16">
        <f>'[2]Illustrations 2'!AF46</f>
        <v>0</v>
      </c>
      <c r="L48" s="17">
        <f t="shared" si="6"/>
        <v>677150</v>
      </c>
      <c r="M48" s="18">
        <f>Sheet2!R46</f>
        <v>2962749</v>
      </c>
      <c r="N48" s="19">
        <f>Sheet3!F47</f>
        <v>3934652</v>
      </c>
      <c r="O48" s="20">
        <f t="shared" si="1"/>
        <v>4.3753215683378865</v>
      </c>
      <c r="Q48" s="21">
        <f t="shared" ref="Q48:R48" si="64">Q47+1</f>
        <v>46</v>
      </c>
      <c r="R48" s="15">
        <f t="shared" si="64"/>
        <v>84</v>
      </c>
      <c r="S48" s="16">
        <f>Sheet3!B47</f>
        <v>0</v>
      </c>
      <c r="T48" s="17">
        <f t="shared" si="8"/>
        <v>671767</v>
      </c>
      <c r="U48" s="18">
        <f>Sheet3!E47</f>
        <v>3481533</v>
      </c>
      <c r="V48" s="19">
        <f>Sheet3!F47</f>
        <v>3934652</v>
      </c>
      <c r="W48" s="20">
        <f t="shared" si="2"/>
        <v>5.1826496389373098</v>
      </c>
    </row>
    <row r="49" spans="1:23" x14ac:dyDescent="0.25">
      <c r="A49" s="21">
        <v>47</v>
      </c>
      <c r="B49" s="15">
        <f t="shared" si="3"/>
        <v>85</v>
      </c>
      <c r="C49" s="16">
        <f>[1]Sheet2!AT47</f>
        <v>0</v>
      </c>
      <c r="D49" s="17">
        <f t="shared" si="4"/>
        <v>809645</v>
      </c>
      <c r="E49" s="18">
        <f>Sheet2!H47</f>
        <v>4277104</v>
      </c>
      <c r="F49" s="19">
        <f>[1]Sheet2!AX47</f>
        <v>972496</v>
      </c>
      <c r="G49" s="20">
        <f t="shared" si="0"/>
        <v>5.2826905619129372</v>
      </c>
      <c r="I49" s="21">
        <f t="shared" ref="I49:J49" si="65">I48+1</f>
        <v>47</v>
      </c>
      <c r="J49" s="15">
        <f t="shared" si="65"/>
        <v>85</v>
      </c>
      <c r="K49" s="16">
        <f>'[2]Illustrations 2'!AF47</f>
        <v>0</v>
      </c>
      <c r="L49" s="17">
        <f t="shared" si="6"/>
        <v>677150</v>
      </c>
      <c r="M49" s="18">
        <f>Sheet2!R47</f>
        <v>3090163</v>
      </c>
      <c r="N49" s="19">
        <f>Sheet3!F48</f>
        <v>4065759</v>
      </c>
      <c r="O49" s="20">
        <f t="shared" si="1"/>
        <v>4.5634837185261761</v>
      </c>
      <c r="Q49" s="21">
        <f t="shared" ref="Q49:R49" si="66">Q48+1</f>
        <v>47</v>
      </c>
      <c r="R49" s="15">
        <f t="shared" si="66"/>
        <v>85</v>
      </c>
      <c r="S49" s="16">
        <f>Sheet3!B48</f>
        <v>0</v>
      </c>
      <c r="T49" s="17">
        <f t="shared" si="8"/>
        <v>671767</v>
      </c>
      <c r="U49" s="18">
        <f>Sheet3!E48</f>
        <v>3630794</v>
      </c>
      <c r="V49" s="19">
        <f>Sheet3!F48</f>
        <v>4065759</v>
      </c>
      <c r="W49" s="20">
        <f t="shared" si="2"/>
        <v>5.4048412619256379</v>
      </c>
    </row>
    <row r="50" spans="1:23" x14ac:dyDescent="0.25">
      <c r="A50" s="21">
        <v>48</v>
      </c>
      <c r="B50" s="15">
        <f t="shared" si="3"/>
        <v>86</v>
      </c>
      <c r="C50" s="16">
        <f>[1]Sheet2!AT48</f>
        <v>0</v>
      </c>
      <c r="D50" s="17">
        <f t="shared" si="4"/>
        <v>809645</v>
      </c>
      <c r="E50" s="18">
        <f>Sheet2!H48</f>
        <v>4457889</v>
      </c>
      <c r="F50" s="19">
        <f>[1]Sheet2!AX48</f>
        <v>1014135</v>
      </c>
      <c r="G50" s="20">
        <f t="shared" si="0"/>
        <v>5.505979781262158</v>
      </c>
      <c r="I50" s="21">
        <f t="shared" ref="I50:J50" si="67">I49+1</f>
        <v>48</v>
      </c>
      <c r="J50" s="15">
        <f t="shared" si="67"/>
        <v>86</v>
      </c>
      <c r="K50" s="16">
        <f>'[2]Illustrations 2'!AF48</f>
        <v>0</v>
      </c>
      <c r="L50" s="17">
        <f t="shared" si="6"/>
        <v>677150</v>
      </c>
      <c r="M50" s="18">
        <f>Sheet2!R48</f>
        <v>3220776</v>
      </c>
      <c r="N50" s="19">
        <f>Sheet3!F49</f>
        <v>4201908</v>
      </c>
      <c r="O50" s="20">
        <f t="shared" si="1"/>
        <v>4.7563700804843831</v>
      </c>
      <c r="Q50" s="21">
        <f t="shared" ref="Q50:R50" si="68">Q49+1</f>
        <v>48</v>
      </c>
      <c r="R50" s="15">
        <f t="shared" si="68"/>
        <v>86</v>
      </c>
      <c r="S50" s="16">
        <f>Sheet3!B49</f>
        <v>0</v>
      </c>
      <c r="T50" s="17">
        <f t="shared" si="8"/>
        <v>671767</v>
      </c>
      <c r="U50" s="18">
        <f>Sheet3!E49</f>
        <v>3784917</v>
      </c>
      <c r="V50" s="19">
        <f>Sheet3!F49</f>
        <v>4201908</v>
      </c>
      <c r="W50" s="20">
        <f t="shared" si="2"/>
        <v>5.6342705134369506</v>
      </c>
    </row>
    <row r="51" spans="1:23" x14ac:dyDescent="0.25">
      <c r="A51" s="21">
        <v>49</v>
      </c>
      <c r="B51" s="15">
        <f t="shared" si="3"/>
        <v>87</v>
      </c>
      <c r="C51" s="16">
        <f>[1]Sheet2!AT49</f>
        <v>0</v>
      </c>
      <c r="D51" s="17">
        <f t="shared" si="4"/>
        <v>809645</v>
      </c>
      <c r="E51" s="18">
        <f>Sheet2!H49</f>
        <v>4642507</v>
      </c>
      <c r="F51" s="19">
        <f>[1]Sheet2!AX49</f>
        <v>1057531</v>
      </c>
      <c r="G51" s="20">
        <f t="shared" si="0"/>
        <v>5.734003174230681</v>
      </c>
      <c r="I51" s="21">
        <f t="shared" ref="I37:J52" si="69">I50+1</f>
        <v>49</v>
      </c>
      <c r="J51" s="15">
        <f t="shared" si="69"/>
        <v>87</v>
      </c>
      <c r="K51" s="16">
        <f>'[2]Illustrations 2'!AF49</f>
        <v>0</v>
      </c>
      <c r="L51" s="17">
        <f t="shared" si="6"/>
        <v>677150</v>
      </c>
      <c r="M51" s="18">
        <f>Sheet2!R49</f>
        <v>3354157</v>
      </c>
      <c r="N51" s="19">
        <f>Sheet3!F50</f>
        <v>4343320</v>
      </c>
      <c r="O51" s="20">
        <f t="shared" si="1"/>
        <v>4.9533441630362551</v>
      </c>
      <c r="Q51" s="21">
        <f t="shared" ref="Q37:R52" si="70">Q50+1</f>
        <v>49</v>
      </c>
      <c r="R51" s="15">
        <f t="shared" si="70"/>
        <v>87</v>
      </c>
      <c r="S51" s="16">
        <f>Sheet3!B50</f>
        <v>0</v>
      </c>
      <c r="T51" s="17">
        <f t="shared" si="8"/>
        <v>671767</v>
      </c>
      <c r="U51" s="18">
        <f>Sheet3!E50</f>
        <v>3943791</v>
      </c>
      <c r="V51" s="19">
        <f>Sheet3!F50</f>
        <v>4343320</v>
      </c>
      <c r="W51" s="20">
        <f t="shared" si="2"/>
        <v>5.8707721576082186</v>
      </c>
    </row>
    <row r="52" spans="1:23" x14ac:dyDescent="0.25">
      <c r="A52" s="21">
        <v>50</v>
      </c>
      <c r="B52" s="15">
        <f t="shared" si="3"/>
        <v>88</v>
      </c>
      <c r="C52" s="16">
        <f>[1]Sheet2!AT50</f>
        <v>0</v>
      </c>
      <c r="D52" s="17">
        <f t="shared" si="4"/>
        <v>809645</v>
      </c>
      <c r="E52" s="18">
        <f>Sheet2!H50</f>
        <v>4830454</v>
      </c>
      <c r="F52" s="19">
        <f>[1]Sheet2!AX50</f>
        <v>1102682</v>
      </c>
      <c r="G52" s="20">
        <f t="shared" si="0"/>
        <v>5.966138245774383</v>
      </c>
      <c r="I52" s="21">
        <f t="shared" si="69"/>
        <v>50</v>
      </c>
      <c r="J52" s="15">
        <f t="shared" si="69"/>
        <v>88</v>
      </c>
      <c r="K52" s="16">
        <f>'[2]Illustrations 2'!AF50</f>
        <v>0</v>
      </c>
      <c r="L52" s="17">
        <f t="shared" si="6"/>
        <v>677150</v>
      </c>
      <c r="M52" s="18">
        <f>Sheet2!R50</f>
        <v>3489943</v>
      </c>
      <c r="N52" s="19">
        <f>Sheet3!F51</f>
        <v>4490233</v>
      </c>
      <c r="O52" s="20">
        <f t="shared" si="1"/>
        <v>5.1538698958871745</v>
      </c>
      <c r="Q52" s="21">
        <f t="shared" si="70"/>
        <v>50</v>
      </c>
      <c r="R52" s="15">
        <f t="shared" si="70"/>
        <v>88</v>
      </c>
      <c r="S52" s="16">
        <f>Sheet3!B51</f>
        <v>0</v>
      </c>
      <c r="T52" s="17">
        <f t="shared" si="8"/>
        <v>671767</v>
      </c>
      <c r="U52" s="18">
        <f>Sheet3!E51</f>
        <v>4107238</v>
      </c>
      <c r="V52" s="19">
        <f>Sheet3!F51</f>
        <v>4490233</v>
      </c>
      <c r="W52" s="20">
        <f t="shared" si="2"/>
        <v>6.1140812216140414</v>
      </c>
    </row>
    <row r="53" spans="1:23" x14ac:dyDescent="0.25">
      <c r="A53" s="21">
        <v>51</v>
      </c>
      <c r="B53" s="15">
        <f t="shared" si="3"/>
        <v>89</v>
      </c>
      <c r="C53" s="16">
        <f>[1]Sheet2!AT51</f>
        <v>0</v>
      </c>
      <c r="D53" s="17">
        <f t="shared" si="4"/>
        <v>809645</v>
      </c>
      <c r="E53" s="18">
        <f>Sheet2!H51</f>
        <v>5019383</v>
      </c>
      <c r="F53" s="19">
        <f>[1]Sheet2!AX51</f>
        <v>1149654</v>
      </c>
      <c r="G53" s="20">
        <f t="shared" si="0"/>
        <v>6.199486194566755</v>
      </c>
      <c r="I53" s="21">
        <f t="shared" ref="I53:J61" si="71">I52+1</f>
        <v>51</v>
      </c>
      <c r="J53" s="15">
        <f t="shared" si="71"/>
        <v>89</v>
      </c>
      <c r="K53" s="16">
        <f>'[2]Illustrations 2'!AF51</f>
        <v>0</v>
      </c>
      <c r="L53" s="17">
        <f t="shared" si="6"/>
        <v>677150</v>
      </c>
      <c r="M53" s="18">
        <f>Sheet2!R51</f>
        <v>3626439</v>
      </c>
      <c r="N53" s="19">
        <f>Sheet3!F52</f>
        <v>4642877</v>
      </c>
      <c r="O53" s="20">
        <f t="shared" si="1"/>
        <v>5.3554441408845896</v>
      </c>
      <c r="Q53" s="21">
        <f t="shared" ref="Q53:R61" si="72">Q52+1</f>
        <v>51</v>
      </c>
      <c r="R53" s="15">
        <f t="shared" si="72"/>
        <v>89</v>
      </c>
      <c r="S53" s="16">
        <f>Sheet3!B52</f>
        <v>0</v>
      </c>
      <c r="T53" s="17">
        <f t="shared" si="8"/>
        <v>671767</v>
      </c>
      <c r="U53" s="18">
        <f>Sheet3!E52</f>
        <v>4275288</v>
      </c>
      <c r="V53" s="19">
        <f>Sheet3!F52</f>
        <v>4642877</v>
      </c>
      <c r="W53" s="20">
        <f t="shared" si="2"/>
        <v>6.3642423637957801</v>
      </c>
    </row>
    <row r="54" spans="1:23" ht="15.75" hidden="1" thickBot="1" x14ac:dyDescent="0.3">
      <c r="A54" s="23">
        <v>52</v>
      </c>
      <c r="B54" s="24">
        <f t="shared" si="3"/>
        <v>90</v>
      </c>
      <c r="C54" s="16">
        <f>[1]Sheet2!AT52</f>
        <v>0</v>
      </c>
      <c r="D54" s="17">
        <f t="shared" ref="D4:D58" si="73">C54</f>
        <v>0</v>
      </c>
      <c r="E54" s="18">
        <f>[1]Sheet2!AW52</f>
        <v>1104036</v>
      </c>
      <c r="F54" s="19">
        <f>[1]Sheet2!AX52</f>
        <v>1198515</v>
      </c>
      <c r="G54" s="26" t="e">
        <f t="shared" si="0"/>
        <v>#DIV/0!</v>
      </c>
      <c r="I54" s="23">
        <f t="shared" si="71"/>
        <v>52</v>
      </c>
      <c r="J54" s="24">
        <f t="shared" si="71"/>
        <v>90</v>
      </c>
      <c r="K54" s="27">
        <f>'[2]Illustrations 2'!AF52</f>
        <v>0</v>
      </c>
      <c r="L54" s="25">
        <f t="shared" si="6"/>
        <v>677150</v>
      </c>
      <c r="M54" s="28">
        <f>[1]Sheet2!Q52</f>
        <v>1140281</v>
      </c>
      <c r="N54" s="29">
        <f>[1]Sheet2!R52</f>
        <v>1187629</v>
      </c>
      <c r="O54" s="26">
        <f t="shared" si="1"/>
        <v>1.6839415196042236</v>
      </c>
      <c r="Q54" s="23">
        <f t="shared" si="72"/>
        <v>52</v>
      </c>
      <c r="R54" s="24">
        <f t="shared" si="72"/>
        <v>90</v>
      </c>
      <c r="S54" s="16">
        <f>Sheet3!B53</f>
        <v>0</v>
      </c>
      <c r="T54" s="25">
        <f t="shared" si="8"/>
        <v>671767</v>
      </c>
      <c r="U54" s="18">
        <f>[1]Sheet2!BG52</f>
        <v>1150741</v>
      </c>
      <c r="V54" s="19">
        <f>[1]Sheet2!BH52</f>
        <v>1198870</v>
      </c>
      <c r="W54" s="26">
        <f t="shared" si="2"/>
        <v>1.7130061464763824</v>
      </c>
    </row>
    <row r="55" spans="1:23" hidden="1" x14ac:dyDescent="0.25">
      <c r="A55" s="21">
        <v>53</v>
      </c>
      <c r="B55" s="15">
        <f t="shared" si="3"/>
        <v>91</v>
      </c>
      <c r="C55" s="16">
        <f>[1]Sheet2!AT53</f>
        <v>0</v>
      </c>
      <c r="D55" s="17">
        <f t="shared" si="73"/>
        <v>0</v>
      </c>
      <c r="E55" s="18">
        <f>[1]Sheet2!AW53</f>
        <v>1158874</v>
      </c>
      <c r="F55" s="19">
        <f>[1]Sheet2!AX53</f>
        <v>1249325</v>
      </c>
      <c r="G55" s="30" t="e">
        <f t="shared" si="0"/>
        <v>#DIV/0!</v>
      </c>
      <c r="I55" s="21">
        <f t="shared" si="71"/>
        <v>53</v>
      </c>
      <c r="J55" s="15">
        <f t="shared" si="71"/>
        <v>91</v>
      </c>
      <c r="K55" s="16">
        <f>'[2]Illustrations 2'!AF53</f>
        <v>0</v>
      </c>
      <c r="L55" s="17">
        <f t="shared" si="6"/>
        <v>677150</v>
      </c>
      <c r="M55" s="18">
        <f>[1]Sheet2!Q53</f>
        <v>1196694</v>
      </c>
      <c r="N55" s="19">
        <f>[1]Sheet2!R53</f>
        <v>1237862</v>
      </c>
      <c r="O55" s="30">
        <f t="shared" si="1"/>
        <v>1.7672509783652071</v>
      </c>
      <c r="Q55" s="21">
        <f t="shared" si="72"/>
        <v>53</v>
      </c>
      <c r="R55" s="15">
        <f t="shared" si="72"/>
        <v>91</v>
      </c>
      <c r="S55" s="16">
        <f>Sheet3!B54</f>
        <v>0</v>
      </c>
      <c r="T55" s="17">
        <f t="shared" si="8"/>
        <v>671767</v>
      </c>
      <c r="U55" s="18">
        <f>[1]Sheet2!BG53</f>
        <v>1207333</v>
      </c>
      <c r="V55" s="19">
        <f>[1]Sheet2!BH53</f>
        <v>1249216</v>
      </c>
      <c r="W55" s="30">
        <f t="shared" si="2"/>
        <v>1.7972496416168107</v>
      </c>
    </row>
    <row r="56" spans="1:23" hidden="1" x14ac:dyDescent="0.25">
      <c r="A56" s="21">
        <v>54</v>
      </c>
      <c r="B56" s="15">
        <f t="shared" si="3"/>
        <v>92</v>
      </c>
      <c r="C56" s="16">
        <f>[1]Sheet2!AT54</f>
        <v>0</v>
      </c>
      <c r="D56" s="17">
        <f t="shared" si="73"/>
        <v>0</v>
      </c>
      <c r="E56" s="18">
        <f>[1]Sheet2!AW54</f>
        <v>1216094</v>
      </c>
      <c r="F56" s="19">
        <f>[1]Sheet2!AX54</f>
        <v>1302153</v>
      </c>
      <c r="G56" s="30" t="e">
        <f t="shared" si="0"/>
        <v>#DIV/0!</v>
      </c>
      <c r="I56" s="21">
        <f t="shared" si="71"/>
        <v>54</v>
      </c>
      <c r="J56" s="15">
        <f t="shared" si="71"/>
        <v>92</v>
      </c>
      <c r="K56" s="16">
        <f>'[2]Illustrations 2'!AF54</f>
        <v>0</v>
      </c>
      <c r="L56" s="17">
        <f t="shared" si="6"/>
        <v>677150</v>
      </c>
      <c r="M56" s="18">
        <f>[1]Sheet2!Q54</f>
        <v>1255553</v>
      </c>
      <c r="N56" s="19">
        <f>[1]Sheet2!R54</f>
        <v>1290097</v>
      </c>
      <c r="O56" s="30">
        <f t="shared" si="1"/>
        <v>1.8541726353097541</v>
      </c>
      <c r="Q56" s="21">
        <f t="shared" si="72"/>
        <v>54</v>
      </c>
      <c r="R56" s="15">
        <f t="shared" si="72"/>
        <v>92</v>
      </c>
      <c r="S56" s="16">
        <f>Sheet3!B55</f>
        <v>0</v>
      </c>
      <c r="T56" s="17">
        <f t="shared" si="8"/>
        <v>671767</v>
      </c>
      <c r="U56" s="18">
        <f>[1]Sheet2!BG54</f>
        <v>1266374</v>
      </c>
      <c r="V56" s="19">
        <f>[1]Sheet2!BH54</f>
        <v>1301567</v>
      </c>
      <c r="W56" s="30">
        <f t="shared" si="2"/>
        <v>1.8851387460235469</v>
      </c>
    </row>
    <row r="57" spans="1:23" hidden="1" x14ac:dyDescent="0.25">
      <c r="A57" s="21">
        <v>55</v>
      </c>
      <c r="B57" s="15">
        <f t="shared" si="3"/>
        <v>93</v>
      </c>
      <c r="C57" s="16">
        <f>[1]Sheet2!AT55</f>
        <v>0</v>
      </c>
      <c r="D57" s="17">
        <f t="shared" si="73"/>
        <v>0</v>
      </c>
      <c r="E57" s="18">
        <f>[1]Sheet2!AW55</f>
        <v>1275946</v>
      </c>
      <c r="F57" s="19">
        <f>[1]Sheet2!AX55</f>
        <v>1357071</v>
      </c>
      <c r="G57" s="30" t="e">
        <f t="shared" si="0"/>
        <v>#DIV/0!</v>
      </c>
      <c r="I57" s="21">
        <f t="shared" si="71"/>
        <v>55</v>
      </c>
      <c r="J57" s="15">
        <f t="shared" si="71"/>
        <v>93</v>
      </c>
      <c r="K57" s="16">
        <f>'[2]Illustrations 2'!AF55</f>
        <v>0</v>
      </c>
      <c r="L57" s="17">
        <f t="shared" si="6"/>
        <v>677150</v>
      </c>
      <c r="M57" s="18">
        <f>[1]Sheet2!Q55</f>
        <v>1317116</v>
      </c>
      <c r="N57" s="19">
        <f>[1]Sheet2!R55</f>
        <v>1344404</v>
      </c>
      <c r="O57" s="30">
        <f t="shared" si="1"/>
        <v>1.9450874990770139</v>
      </c>
      <c r="Q57" s="21">
        <f t="shared" si="72"/>
        <v>55</v>
      </c>
      <c r="R57" s="15">
        <f t="shared" si="72"/>
        <v>93</v>
      </c>
      <c r="S57" s="16">
        <f>Sheet3!B56</f>
        <v>0</v>
      </c>
      <c r="T57" s="17">
        <f t="shared" si="8"/>
        <v>671767</v>
      </c>
      <c r="U57" s="18">
        <f>[1]Sheet2!BG55</f>
        <v>1328125</v>
      </c>
      <c r="V57" s="19">
        <f>[1]Sheet2!BH55</f>
        <v>1355991</v>
      </c>
      <c r="W57" s="30">
        <f t="shared" si="2"/>
        <v>1.9770619872664184</v>
      </c>
    </row>
    <row r="58" spans="1:23" hidden="1" x14ac:dyDescent="0.25">
      <c r="A58" s="21">
        <v>56</v>
      </c>
      <c r="B58" s="15">
        <f t="shared" si="3"/>
        <v>94</v>
      </c>
      <c r="C58" s="16">
        <f>[1]Sheet2!AT56</f>
        <v>0</v>
      </c>
      <c r="D58" s="17">
        <f t="shared" si="73"/>
        <v>0</v>
      </c>
      <c r="E58" s="18">
        <f>[1]Sheet2!AW56</f>
        <v>1338855</v>
      </c>
      <c r="F58" s="19">
        <f>[1]Sheet2!AX56</f>
        <v>1414054</v>
      </c>
      <c r="G58" s="30" t="e">
        <f t="shared" si="0"/>
        <v>#DIV/0!</v>
      </c>
      <c r="I58" s="21">
        <f t="shared" si="71"/>
        <v>56</v>
      </c>
      <c r="J58" s="15">
        <f t="shared" si="71"/>
        <v>94</v>
      </c>
      <c r="K58" s="16">
        <f>'[2]Illustrations 2'!AF56</f>
        <v>0</v>
      </c>
      <c r="L58" s="17">
        <f t="shared" si="6"/>
        <v>677150</v>
      </c>
      <c r="M58" s="18">
        <f>[1]Sheet2!Q56</f>
        <v>1381824</v>
      </c>
      <c r="N58" s="19">
        <f>[1]Sheet2!R56</f>
        <v>1400860</v>
      </c>
      <c r="O58" s="30">
        <f t="shared" si="1"/>
        <v>2.0406468286199511</v>
      </c>
      <c r="Q58" s="21">
        <f t="shared" si="72"/>
        <v>56</v>
      </c>
      <c r="R58" s="15">
        <f t="shared" si="72"/>
        <v>94</v>
      </c>
      <c r="S58" s="16">
        <f>Sheet3!B57</f>
        <v>0</v>
      </c>
      <c r="T58" s="17">
        <f t="shared" si="8"/>
        <v>671767</v>
      </c>
      <c r="U58" s="18">
        <f>[1]Sheet2!BG56</f>
        <v>1393028</v>
      </c>
      <c r="V58" s="19">
        <f>[1]Sheet2!BH56</f>
        <v>1412568</v>
      </c>
      <c r="W58" s="30">
        <f t="shared" si="2"/>
        <v>2.0736773315747872</v>
      </c>
    </row>
    <row r="59" spans="1:23" hidden="1" x14ac:dyDescent="0.25">
      <c r="A59" s="21">
        <v>57</v>
      </c>
      <c r="B59" s="15">
        <f t="shared" si="3"/>
        <v>95</v>
      </c>
      <c r="C59" s="16">
        <f>[1]Sheet2!AT57</f>
        <v>0</v>
      </c>
      <c r="D59" s="17">
        <f t="shared" ref="D5:D61" si="74">D58+C59</f>
        <v>0</v>
      </c>
      <c r="E59" s="18">
        <f>[1]Sheet2!AW57</f>
        <v>1405300</v>
      </c>
      <c r="F59" s="19">
        <f>[1]Sheet2!AX57</f>
        <v>1473091</v>
      </c>
      <c r="G59" s="30" t="e">
        <f t="shared" si="0"/>
        <v>#DIV/0!</v>
      </c>
      <c r="I59" s="21">
        <f t="shared" si="71"/>
        <v>57</v>
      </c>
      <c r="J59" s="15">
        <f t="shared" si="71"/>
        <v>95</v>
      </c>
      <c r="K59" s="16">
        <f>'[2]Illustrations 2'!AF57</f>
        <v>0</v>
      </c>
      <c r="L59" s="17">
        <f t="shared" si="6"/>
        <v>677150</v>
      </c>
      <c r="M59" s="18">
        <f>[1]Sheet2!Q57</f>
        <v>1450168</v>
      </c>
      <c r="N59" s="19">
        <f>[1]Sheet2!R57</f>
        <v>1459437</v>
      </c>
      <c r="O59" s="30">
        <f t="shared" si="1"/>
        <v>2.1415757217750868</v>
      </c>
      <c r="Q59" s="21">
        <f t="shared" si="72"/>
        <v>57</v>
      </c>
      <c r="R59" s="15">
        <f t="shared" si="72"/>
        <v>95</v>
      </c>
      <c r="S59" s="16">
        <f>Sheet3!B58</f>
        <v>0</v>
      </c>
      <c r="T59" s="17">
        <f t="shared" si="8"/>
        <v>671767</v>
      </c>
      <c r="U59" s="18">
        <f>[1]Sheet2!BG57</f>
        <v>1461581</v>
      </c>
      <c r="V59" s="19">
        <f>[1]Sheet2!BH57</f>
        <v>1471270</v>
      </c>
      <c r="W59" s="30">
        <f t="shared" si="2"/>
        <v>2.1757261074152199</v>
      </c>
    </row>
    <row r="60" spans="1:23" hidden="1" x14ac:dyDescent="0.25">
      <c r="A60" s="21">
        <v>58</v>
      </c>
      <c r="B60" s="15">
        <f t="shared" si="3"/>
        <v>96</v>
      </c>
      <c r="C60" s="16">
        <f>[1]Sheet2!AT58</f>
        <v>0</v>
      </c>
      <c r="D60" s="17">
        <f t="shared" si="74"/>
        <v>0</v>
      </c>
      <c r="E60" s="18">
        <f>[1]Sheet2!AW58</f>
        <v>1475687</v>
      </c>
      <c r="F60" s="19">
        <f>[1]Sheet2!AX58</f>
        <v>1534058</v>
      </c>
      <c r="G60" s="30" t="e">
        <f t="shared" si="0"/>
        <v>#DIV/0!</v>
      </c>
      <c r="I60" s="21">
        <f t="shared" si="71"/>
        <v>58</v>
      </c>
      <c r="J60" s="15">
        <f t="shared" si="71"/>
        <v>96</v>
      </c>
      <c r="K60" s="16">
        <f>'[2]Illustrations 2'!AF58</f>
        <v>0</v>
      </c>
      <c r="L60" s="17">
        <f t="shared" si="6"/>
        <v>677150</v>
      </c>
      <c r="M60" s="18">
        <f>[1]Sheet2!Q58</f>
        <v>1522569</v>
      </c>
      <c r="N60" s="19">
        <f>[1]Sheet2!R58</f>
        <v>1520124</v>
      </c>
      <c r="O60" s="30">
        <f t="shared" si="1"/>
        <v>2.2484959019419626</v>
      </c>
      <c r="Q60" s="21">
        <f t="shared" si="72"/>
        <v>58</v>
      </c>
      <c r="R60" s="15">
        <f t="shared" si="72"/>
        <v>96</v>
      </c>
      <c r="S60" s="16">
        <f>Sheet3!B59</f>
        <v>0</v>
      </c>
      <c r="T60" s="17">
        <f t="shared" si="8"/>
        <v>671767</v>
      </c>
      <c r="U60" s="18">
        <f>[1]Sheet2!BG58</f>
        <v>1534203</v>
      </c>
      <c r="V60" s="19">
        <f>[1]Sheet2!BH58</f>
        <v>1532087</v>
      </c>
      <c r="W60" s="30">
        <f t="shared" si="2"/>
        <v>2.2838320429553698</v>
      </c>
    </row>
    <row r="61" spans="1:23" ht="15.75" hidden="1" thickBot="1" x14ac:dyDescent="0.3">
      <c r="A61" s="23">
        <v>59</v>
      </c>
      <c r="B61" s="24">
        <f t="shared" si="3"/>
        <v>97</v>
      </c>
      <c r="C61" s="16">
        <f>[1]Sheet2!AT59</f>
        <v>0</v>
      </c>
      <c r="D61" s="25">
        <f t="shared" si="74"/>
        <v>0</v>
      </c>
      <c r="E61" s="18">
        <f>[1]Sheet2!AW59</f>
        <v>1551109</v>
      </c>
      <c r="F61" s="19">
        <f>[1]Sheet2!AX59</f>
        <v>1596826</v>
      </c>
      <c r="G61" s="30" t="e">
        <f t="shared" si="0"/>
        <v>#DIV/0!</v>
      </c>
      <c r="I61" s="23">
        <f t="shared" si="71"/>
        <v>59</v>
      </c>
      <c r="J61" s="24">
        <f t="shared" si="71"/>
        <v>97</v>
      </c>
      <c r="K61" s="27">
        <f>'[2]Illustrations 2'!AF59</f>
        <v>0</v>
      </c>
      <c r="L61" s="25">
        <f t="shared" si="6"/>
        <v>677150</v>
      </c>
      <c r="M61" s="18">
        <f>[1]Sheet2!Q59</f>
        <v>1600153</v>
      </c>
      <c r="N61" s="19">
        <f>[1]Sheet2!R59</f>
        <v>1582795</v>
      </c>
      <c r="O61" s="31">
        <f t="shared" si="1"/>
        <v>2.3630702207782619</v>
      </c>
      <c r="Q61" s="23">
        <f t="shared" si="72"/>
        <v>59</v>
      </c>
      <c r="R61" s="24">
        <f t="shared" si="72"/>
        <v>97</v>
      </c>
      <c r="S61" s="16">
        <f>Sheet3!B60</f>
        <v>0</v>
      </c>
      <c r="T61" s="25">
        <f t="shared" si="8"/>
        <v>671767</v>
      </c>
      <c r="U61" s="18">
        <f>[1]Sheet2!BG59</f>
        <v>1612030</v>
      </c>
      <c r="V61" s="19">
        <f>[1]Sheet2!BH59</f>
        <v>1594889</v>
      </c>
      <c r="W61" s="31">
        <f t="shared" si="2"/>
        <v>2.3996862007213813</v>
      </c>
    </row>
    <row r="62" spans="1:23" x14ac:dyDescent="0.25">
      <c r="A62" s="32" t="s">
        <v>7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</sheetData>
  <mergeCells count="4">
    <mergeCell ref="A1:G1"/>
    <mergeCell ref="I1:O1"/>
    <mergeCell ref="Q1:W1"/>
    <mergeCell ref="A62:W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5BA9-4D31-42D7-A0FA-81B2906C8E6F}">
  <dimension ref="B1:S63"/>
  <sheetViews>
    <sheetView workbookViewId="0">
      <selection activeCell="L1" sqref="L1"/>
    </sheetView>
  </sheetViews>
  <sheetFormatPr defaultRowHeight="15" x14ac:dyDescent="0.25"/>
  <sheetData>
    <row r="1" spans="2:19" x14ac:dyDescent="0.25">
      <c r="C1" s="1">
        <v>39</v>
      </c>
      <c r="D1" s="2">
        <v>110000</v>
      </c>
      <c r="E1" s="2">
        <v>110000</v>
      </c>
      <c r="F1" s="1">
        <v>0</v>
      </c>
      <c r="G1" s="2">
        <v>81247</v>
      </c>
      <c r="H1" s="2">
        <v>81247</v>
      </c>
      <c r="I1" s="2">
        <v>3000000</v>
      </c>
      <c r="L1" s="1"/>
      <c r="M1" s="1">
        <v>39</v>
      </c>
      <c r="N1" s="2">
        <v>125000</v>
      </c>
      <c r="O1" s="2">
        <v>125000</v>
      </c>
      <c r="P1" s="1">
        <v>0</v>
      </c>
      <c r="Q1" s="2">
        <v>105843</v>
      </c>
      <c r="R1" s="2">
        <v>105843</v>
      </c>
      <c r="S1" s="2">
        <v>3403268</v>
      </c>
    </row>
    <row r="2" spans="2:19" x14ac:dyDescent="0.25">
      <c r="B2" s="3">
        <v>2</v>
      </c>
      <c r="C2" s="3">
        <v>40</v>
      </c>
      <c r="D2" s="4">
        <v>110000</v>
      </c>
      <c r="E2" s="4">
        <v>110000</v>
      </c>
      <c r="F2" s="4">
        <v>1765</v>
      </c>
      <c r="G2" s="4">
        <v>170599</v>
      </c>
      <c r="H2" s="4">
        <v>170599</v>
      </c>
      <c r="I2" s="4">
        <v>3000000</v>
      </c>
      <c r="L2" s="3">
        <v>2</v>
      </c>
      <c r="M2" s="3">
        <v>40</v>
      </c>
      <c r="N2" s="4">
        <v>22086</v>
      </c>
      <c r="O2" s="4">
        <v>22086</v>
      </c>
      <c r="P2" s="4">
        <v>2291</v>
      </c>
      <c r="Q2" s="4">
        <v>121273</v>
      </c>
      <c r="R2" s="4">
        <v>121273</v>
      </c>
      <c r="S2" s="4">
        <v>3412187</v>
      </c>
    </row>
    <row r="3" spans="2:19" x14ac:dyDescent="0.25">
      <c r="B3" s="1">
        <v>3</v>
      </c>
      <c r="C3" s="1">
        <v>41</v>
      </c>
      <c r="D3" s="2">
        <v>30000</v>
      </c>
      <c r="E3" s="2">
        <v>30000</v>
      </c>
      <c r="F3" s="2">
        <v>7258</v>
      </c>
      <c r="G3" s="2">
        <v>189014</v>
      </c>
      <c r="H3" s="2">
        <v>200474</v>
      </c>
      <c r="I3" s="2">
        <v>3000000</v>
      </c>
      <c r="L3" s="1">
        <v>3</v>
      </c>
      <c r="M3" s="1">
        <v>41</v>
      </c>
      <c r="N3" s="2">
        <v>22086</v>
      </c>
      <c r="O3" s="2">
        <v>22086</v>
      </c>
      <c r="P3" s="2">
        <v>4364</v>
      </c>
      <c r="Q3" s="2">
        <v>137355</v>
      </c>
      <c r="R3" s="2">
        <v>143085</v>
      </c>
      <c r="S3" s="2">
        <v>3421277</v>
      </c>
    </row>
    <row r="4" spans="2:19" x14ac:dyDescent="0.25">
      <c r="B4" s="3">
        <v>4</v>
      </c>
      <c r="C4" s="3">
        <v>42</v>
      </c>
      <c r="D4" s="4">
        <v>24691</v>
      </c>
      <c r="E4" s="4">
        <v>24691</v>
      </c>
      <c r="F4" s="4">
        <v>7883</v>
      </c>
      <c r="G4" s="4">
        <v>203652</v>
      </c>
      <c r="H4" s="4">
        <v>231147</v>
      </c>
      <c r="I4" s="4">
        <v>3000000</v>
      </c>
      <c r="L4" s="3">
        <v>4</v>
      </c>
      <c r="M4" s="3">
        <v>42</v>
      </c>
      <c r="N4" s="4">
        <v>22086</v>
      </c>
      <c r="O4" s="4">
        <v>22086</v>
      </c>
      <c r="P4" s="4">
        <v>4804</v>
      </c>
      <c r="Q4" s="4">
        <v>154294</v>
      </c>
      <c r="R4" s="4">
        <v>168041</v>
      </c>
      <c r="S4" s="4">
        <v>3430470</v>
      </c>
    </row>
    <row r="5" spans="2:19" x14ac:dyDescent="0.25">
      <c r="B5" s="1">
        <v>5</v>
      </c>
      <c r="C5" s="1">
        <v>43</v>
      </c>
      <c r="D5" s="2">
        <v>24691</v>
      </c>
      <c r="E5" s="2">
        <v>24691</v>
      </c>
      <c r="F5" s="2">
        <v>8539</v>
      </c>
      <c r="G5" s="2">
        <v>219359</v>
      </c>
      <c r="H5" s="2">
        <v>263339</v>
      </c>
      <c r="I5" s="2">
        <v>3000000</v>
      </c>
      <c r="L5" s="1">
        <v>5</v>
      </c>
      <c r="M5" s="1">
        <v>43</v>
      </c>
      <c r="N5" s="2">
        <v>22086</v>
      </c>
      <c r="O5" s="2">
        <v>22086</v>
      </c>
      <c r="P5" s="2">
        <v>5352</v>
      </c>
      <c r="Q5" s="2">
        <v>172174</v>
      </c>
      <c r="R5" s="2">
        <v>194164</v>
      </c>
      <c r="S5" s="2">
        <v>3439864</v>
      </c>
    </row>
    <row r="6" spans="2:19" x14ac:dyDescent="0.25">
      <c r="B6" s="3">
        <v>6</v>
      </c>
      <c r="C6" s="3">
        <v>44</v>
      </c>
      <c r="D6" s="4">
        <v>24691</v>
      </c>
      <c r="E6" s="4">
        <v>24691</v>
      </c>
      <c r="F6" s="4">
        <v>9200</v>
      </c>
      <c r="G6" s="4">
        <v>236071</v>
      </c>
      <c r="H6" s="4">
        <v>297106</v>
      </c>
      <c r="I6" s="4">
        <v>3000000</v>
      </c>
      <c r="L6" s="3">
        <v>6</v>
      </c>
      <c r="M6" s="3">
        <v>44</v>
      </c>
      <c r="N6" s="4">
        <v>22086</v>
      </c>
      <c r="O6" s="4">
        <v>22086</v>
      </c>
      <c r="P6" s="4">
        <v>5903</v>
      </c>
      <c r="Q6" s="4">
        <v>190838</v>
      </c>
      <c r="R6" s="4">
        <v>221355</v>
      </c>
      <c r="S6" s="4">
        <v>3449454</v>
      </c>
    </row>
    <row r="7" spans="2:19" x14ac:dyDescent="0.25">
      <c r="B7" s="1">
        <v>7</v>
      </c>
      <c r="C7" s="1">
        <v>45</v>
      </c>
      <c r="D7" s="2">
        <v>24691</v>
      </c>
      <c r="E7" s="2">
        <v>24691</v>
      </c>
      <c r="F7" s="2">
        <v>9758</v>
      </c>
      <c r="G7" s="2">
        <v>254200</v>
      </c>
      <c r="H7" s="2">
        <v>332860</v>
      </c>
      <c r="I7" s="2">
        <v>3000000</v>
      </c>
      <c r="L7" s="1">
        <v>7</v>
      </c>
      <c r="M7" s="1">
        <v>45</v>
      </c>
      <c r="N7" s="2">
        <v>22086</v>
      </c>
      <c r="O7" s="2">
        <v>22086</v>
      </c>
      <c r="P7" s="2">
        <v>6370</v>
      </c>
      <c r="Q7" s="2">
        <v>210495</v>
      </c>
      <c r="R7" s="2">
        <v>249825</v>
      </c>
      <c r="S7" s="2">
        <v>3459156</v>
      </c>
    </row>
    <row r="8" spans="2:19" x14ac:dyDescent="0.25">
      <c r="B8" s="3">
        <v>8</v>
      </c>
      <c r="C8" s="3">
        <v>46</v>
      </c>
      <c r="D8" s="4">
        <v>24691</v>
      </c>
      <c r="E8" s="4">
        <v>24691</v>
      </c>
      <c r="F8" s="4">
        <v>10704</v>
      </c>
      <c r="G8" s="4">
        <v>273948</v>
      </c>
      <c r="H8" s="4">
        <v>370863</v>
      </c>
      <c r="I8" s="4">
        <v>3000000</v>
      </c>
      <c r="L8" s="3">
        <v>8</v>
      </c>
      <c r="M8" s="3">
        <v>46</v>
      </c>
      <c r="N8" s="4">
        <v>22086</v>
      </c>
      <c r="O8" s="4">
        <v>22086</v>
      </c>
      <c r="P8" s="4">
        <v>7042</v>
      </c>
      <c r="Q8" s="4">
        <v>231283</v>
      </c>
      <c r="R8" s="4">
        <v>279740</v>
      </c>
      <c r="S8" s="4">
        <v>3468936</v>
      </c>
    </row>
    <row r="9" spans="2:19" x14ac:dyDescent="0.25">
      <c r="B9" s="1">
        <v>9</v>
      </c>
      <c r="C9" s="1">
        <v>47</v>
      </c>
      <c r="D9" s="2">
        <v>24691</v>
      </c>
      <c r="E9" s="2">
        <v>24691</v>
      </c>
      <c r="F9" s="2">
        <v>11776</v>
      </c>
      <c r="G9" s="2">
        <v>295305</v>
      </c>
      <c r="H9" s="2">
        <v>411075</v>
      </c>
      <c r="I9" s="2">
        <v>3000000</v>
      </c>
      <c r="L9" s="1">
        <v>9</v>
      </c>
      <c r="M9" s="1">
        <v>47</v>
      </c>
      <c r="N9" s="2">
        <v>22086</v>
      </c>
      <c r="O9" s="2">
        <v>22086</v>
      </c>
      <c r="P9" s="2">
        <v>7793</v>
      </c>
      <c r="Q9" s="2">
        <v>253157</v>
      </c>
      <c r="R9" s="2">
        <v>311042</v>
      </c>
      <c r="S9" s="2">
        <v>3478865</v>
      </c>
    </row>
    <row r="10" spans="2:19" x14ac:dyDescent="0.25">
      <c r="B10" s="3">
        <v>10</v>
      </c>
      <c r="C10" s="3">
        <v>48</v>
      </c>
      <c r="D10" s="4">
        <v>24691</v>
      </c>
      <c r="E10" s="4">
        <v>24691</v>
      </c>
      <c r="F10" s="4">
        <v>12803</v>
      </c>
      <c r="G10" s="4">
        <v>318400</v>
      </c>
      <c r="H10" s="4">
        <v>453730</v>
      </c>
      <c r="I10" s="4">
        <v>3000000</v>
      </c>
      <c r="L10" s="3">
        <v>10</v>
      </c>
      <c r="M10" s="3">
        <v>48</v>
      </c>
      <c r="N10" s="4">
        <v>22086</v>
      </c>
      <c r="O10" s="4">
        <v>22086</v>
      </c>
      <c r="P10" s="4">
        <v>8525</v>
      </c>
      <c r="Q10" s="4">
        <v>276216</v>
      </c>
      <c r="R10" s="4">
        <v>343881</v>
      </c>
      <c r="S10" s="4">
        <v>3488906</v>
      </c>
    </row>
    <row r="11" spans="2:19" x14ac:dyDescent="0.25">
      <c r="B11" s="1">
        <v>11</v>
      </c>
      <c r="C11" s="1">
        <v>49</v>
      </c>
      <c r="D11" s="2">
        <v>24691</v>
      </c>
      <c r="E11" s="2">
        <v>24691</v>
      </c>
      <c r="F11" s="2">
        <v>13845</v>
      </c>
      <c r="G11" s="2">
        <v>344004</v>
      </c>
      <c r="H11" s="2">
        <v>499554</v>
      </c>
      <c r="I11" s="2">
        <v>3000000</v>
      </c>
      <c r="L11" s="1">
        <v>11</v>
      </c>
      <c r="M11" s="1">
        <v>49</v>
      </c>
      <c r="N11" s="2">
        <v>22086</v>
      </c>
      <c r="O11" s="2">
        <v>22086</v>
      </c>
      <c r="P11" s="2">
        <v>9250</v>
      </c>
      <c r="Q11" s="2">
        <v>301076</v>
      </c>
      <c r="R11" s="2">
        <v>378851</v>
      </c>
      <c r="S11" s="2">
        <v>3499022</v>
      </c>
    </row>
    <row r="12" spans="2:19" x14ac:dyDescent="0.25">
      <c r="B12" s="3">
        <v>12</v>
      </c>
      <c r="C12" s="3">
        <v>50</v>
      </c>
      <c r="D12" s="4">
        <v>24691</v>
      </c>
      <c r="E12" s="4">
        <v>24691</v>
      </c>
      <c r="F12" s="4">
        <v>15561</v>
      </c>
      <c r="G12" s="4">
        <v>372247</v>
      </c>
      <c r="H12" s="4">
        <v>548752</v>
      </c>
      <c r="I12" s="4">
        <v>3000000</v>
      </c>
      <c r="L12" s="3">
        <v>12</v>
      </c>
      <c r="M12" s="3">
        <v>50</v>
      </c>
      <c r="N12" s="4">
        <v>22086</v>
      </c>
      <c r="O12" s="4">
        <v>22086</v>
      </c>
      <c r="P12" s="4">
        <v>10374</v>
      </c>
      <c r="Q12" s="4">
        <v>327884</v>
      </c>
      <c r="R12" s="4">
        <v>416137</v>
      </c>
      <c r="S12" s="4">
        <v>3509324</v>
      </c>
    </row>
    <row r="13" spans="2:19" x14ac:dyDescent="0.25">
      <c r="B13" s="1">
        <v>13</v>
      </c>
      <c r="C13" s="1">
        <v>51</v>
      </c>
      <c r="D13" s="2">
        <v>24691</v>
      </c>
      <c r="E13" s="2">
        <v>24691</v>
      </c>
      <c r="F13" s="2">
        <v>17272</v>
      </c>
      <c r="G13" s="2">
        <v>403207</v>
      </c>
      <c r="H13" s="2">
        <v>601357</v>
      </c>
      <c r="I13" s="2">
        <v>3000000</v>
      </c>
      <c r="L13" s="1">
        <v>13</v>
      </c>
      <c r="M13" s="1">
        <v>51</v>
      </c>
      <c r="N13" s="2">
        <v>22086</v>
      </c>
      <c r="O13" s="2">
        <v>22086</v>
      </c>
      <c r="P13" s="2">
        <v>11482</v>
      </c>
      <c r="Q13" s="2">
        <v>356359</v>
      </c>
      <c r="R13" s="2">
        <v>455434</v>
      </c>
      <c r="S13" s="2">
        <v>3519748</v>
      </c>
    </row>
    <row r="14" spans="2:19" x14ac:dyDescent="0.25">
      <c r="B14" s="3">
        <v>14</v>
      </c>
      <c r="C14" s="3">
        <v>52</v>
      </c>
      <c r="D14" s="4">
        <v>24691</v>
      </c>
      <c r="E14" s="4">
        <v>24691</v>
      </c>
      <c r="F14" s="4">
        <v>19074</v>
      </c>
      <c r="G14" s="4">
        <v>437139</v>
      </c>
      <c r="H14" s="4">
        <v>657594</v>
      </c>
      <c r="I14" s="4">
        <v>3000000</v>
      </c>
      <c r="L14" s="3">
        <v>14</v>
      </c>
      <c r="M14" s="3">
        <v>52</v>
      </c>
      <c r="N14" s="4">
        <v>22086</v>
      </c>
      <c r="O14" s="4">
        <v>22086</v>
      </c>
      <c r="P14" s="4">
        <v>12616</v>
      </c>
      <c r="Q14" s="4">
        <v>386633</v>
      </c>
      <c r="R14" s="4">
        <v>496860</v>
      </c>
      <c r="S14" s="4">
        <v>3530272</v>
      </c>
    </row>
    <row r="15" spans="2:19" x14ac:dyDescent="0.25">
      <c r="B15" s="1">
        <v>15</v>
      </c>
      <c r="C15" s="1">
        <v>53</v>
      </c>
      <c r="D15" s="2">
        <v>24691</v>
      </c>
      <c r="E15" s="2">
        <v>24691</v>
      </c>
      <c r="F15" s="2">
        <v>21043</v>
      </c>
      <c r="G15" s="2">
        <v>474317</v>
      </c>
      <c r="H15" s="2">
        <v>717737</v>
      </c>
      <c r="I15" s="2">
        <v>3000000</v>
      </c>
      <c r="L15" s="1">
        <v>15</v>
      </c>
      <c r="M15" s="1">
        <v>53</v>
      </c>
      <c r="N15" s="2">
        <v>22086</v>
      </c>
      <c r="O15" s="2">
        <v>22086</v>
      </c>
      <c r="P15" s="2">
        <v>13886</v>
      </c>
      <c r="Q15" s="2">
        <v>418836</v>
      </c>
      <c r="R15" s="2">
        <v>540546</v>
      </c>
      <c r="S15" s="2">
        <v>3540989</v>
      </c>
    </row>
    <row r="16" spans="2:19" x14ac:dyDescent="0.25">
      <c r="B16" s="3">
        <v>16</v>
      </c>
      <c r="C16" s="3">
        <v>54</v>
      </c>
      <c r="D16" s="4">
        <v>24691</v>
      </c>
      <c r="E16" s="4">
        <v>24691</v>
      </c>
      <c r="F16" s="4">
        <v>23183</v>
      </c>
      <c r="G16" s="4">
        <v>515170</v>
      </c>
      <c r="H16" s="4">
        <v>782230</v>
      </c>
      <c r="I16" s="4">
        <v>3000000</v>
      </c>
      <c r="L16" s="3">
        <v>16</v>
      </c>
      <c r="M16" s="3">
        <v>54</v>
      </c>
      <c r="N16" s="4">
        <v>22086</v>
      </c>
      <c r="O16" s="4">
        <v>22086</v>
      </c>
      <c r="P16" s="4">
        <v>15246</v>
      </c>
      <c r="Q16" s="4">
        <v>453726</v>
      </c>
      <c r="R16" s="4">
        <v>587256</v>
      </c>
      <c r="S16" s="4">
        <v>3551947</v>
      </c>
    </row>
    <row r="17" spans="2:19" x14ac:dyDescent="0.25">
      <c r="B17" s="1">
        <v>17</v>
      </c>
      <c r="C17" s="1">
        <v>55</v>
      </c>
      <c r="D17" s="2">
        <v>24691</v>
      </c>
      <c r="E17" s="2">
        <v>24691</v>
      </c>
      <c r="F17" s="2">
        <v>25622</v>
      </c>
      <c r="G17" s="2">
        <v>558653</v>
      </c>
      <c r="H17" s="2">
        <v>849998</v>
      </c>
      <c r="I17" s="2">
        <v>3000000</v>
      </c>
      <c r="L17" s="1">
        <v>17</v>
      </c>
      <c r="M17" s="1">
        <v>55</v>
      </c>
      <c r="N17" s="2">
        <v>22086</v>
      </c>
      <c r="O17" s="2">
        <v>22086</v>
      </c>
      <c r="P17" s="2">
        <v>17308</v>
      </c>
      <c r="Q17" s="2">
        <v>490277</v>
      </c>
      <c r="R17" s="2">
        <v>635949</v>
      </c>
      <c r="S17" s="2">
        <v>3564743</v>
      </c>
    </row>
    <row r="18" spans="2:19" x14ac:dyDescent="0.25">
      <c r="B18" s="3">
        <v>18</v>
      </c>
      <c r="C18" s="3">
        <v>56</v>
      </c>
      <c r="D18" s="4">
        <v>24691</v>
      </c>
      <c r="E18" s="4">
        <v>24691</v>
      </c>
      <c r="F18" s="4">
        <v>26858</v>
      </c>
      <c r="G18" s="4">
        <v>604946</v>
      </c>
      <c r="H18" s="4">
        <v>921221</v>
      </c>
      <c r="I18" s="4">
        <v>3000000</v>
      </c>
      <c r="L18" s="3">
        <v>18</v>
      </c>
      <c r="M18" s="3">
        <v>56</v>
      </c>
      <c r="N18" s="4">
        <v>22086</v>
      </c>
      <c r="O18" s="4">
        <v>22086</v>
      </c>
      <c r="P18" s="4">
        <v>18269</v>
      </c>
      <c r="Q18" s="4">
        <v>528530</v>
      </c>
      <c r="R18" s="4">
        <v>686668</v>
      </c>
      <c r="S18" s="4">
        <v>3577845</v>
      </c>
    </row>
    <row r="19" spans="2:19" x14ac:dyDescent="0.25">
      <c r="B19" s="1">
        <v>19</v>
      </c>
      <c r="C19" s="1">
        <v>57</v>
      </c>
      <c r="D19" s="2">
        <v>23660</v>
      </c>
      <c r="E19" s="2">
        <v>23660</v>
      </c>
      <c r="F19" s="2">
        <v>28208</v>
      </c>
      <c r="G19" s="2">
        <v>653111</v>
      </c>
      <c r="H19" s="2">
        <v>994931</v>
      </c>
      <c r="I19" s="2">
        <v>3015283</v>
      </c>
      <c r="L19" s="1">
        <v>19</v>
      </c>
      <c r="M19" s="1">
        <v>57</v>
      </c>
      <c r="N19" s="2">
        <v>22086</v>
      </c>
      <c r="O19" s="2">
        <v>22086</v>
      </c>
      <c r="P19" s="2">
        <v>19300</v>
      </c>
      <c r="Q19" s="2">
        <v>568473</v>
      </c>
      <c r="R19" s="2">
        <v>739383</v>
      </c>
      <c r="S19" s="2">
        <v>3591270</v>
      </c>
    </row>
    <row r="20" spans="2:19" x14ac:dyDescent="0.25">
      <c r="B20" s="3">
        <v>20</v>
      </c>
      <c r="C20" s="3">
        <v>58</v>
      </c>
      <c r="D20" s="4">
        <v>23660</v>
      </c>
      <c r="E20" s="4">
        <v>23660</v>
      </c>
      <c r="F20" s="4">
        <v>29512</v>
      </c>
      <c r="G20" s="4">
        <v>703957</v>
      </c>
      <c r="H20" s="4">
        <v>1071952</v>
      </c>
      <c r="I20" s="4">
        <v>3086994</v>
      </c>
      <c r="L20" s="3">
        <v>20</v>
      </c>
      <c r="M20" s="3">
        <v>58</v>
      </c>
      <c r="N20" s="4">
        <v>22086</v>
      </c>
      <c r="O20" s="4">
        <v>22086</v>
      </c>
      <c r="P20" s="4">
        <v>20305</v>
      </c>
      <c r="Q20" s="4">
        <v>610136</v>
      </c>
      <c r="R20" s="4">
        <v>794134</v>
      </c>
      <c r="S20" s="4">
        <v>3604977</v>
      </c>
    </row>
    <row r="21" spans="2:19" x14ac:dyDescent="0.25">
      <c r="B21" s="1">
        <v>21</v>
      </c>
      <c r="C21" s="1">
        <v>59</v>
      </c>
      <c r="D21" s="2">
        <v>23660</v>
      </c>
      <c r="E21" s="2">
        <v>23660</v>
      </c>
      <c r="F21" s="2">
        <v>30865</v>
      </c>
      <c r="G21" s="2">
        <v>758919</v>
      </c>
      <c r="H21" s="2">
        <v>1152219</v>
      </c>
      <c r="I21" s="2">
        <v>3159766</v>
      </c>
      <c r="L21" s="1">
        <v>21</v>
      </c>
      <c r="M21" s="1">
        <v>59</v>
      </c>
      <c r="N21" s="2">
        <v>22086</v>
      </c>
      <c r="O21" s="2">
        <v>22086</v>
      </c>
      <c r="P21" s="2">
        <v>21340</v>
      </c>
      <c r="Q21" s="2">
        <v>654246</v>
      </c>
      <c r="R21" s="2">
        <v>850896</v>
      </c>
      <c r="S21" s="2">
        <v>3618965</v>
      </c>
    </row>
    <row r="22" spans="2:19" x14ac:dyDescent="0.25">
      <c r="B22" s="3">
        <v>22</v>
      </c>
      <c r="C22" s="3">
        <v>60</v>
      </c>
      <c r="D22" s="4">
        <v>23660</v>
      </c>
      <c r="E22" s="4">
        <v>23660</v>
      </c>
      <c r="F22" s="4">
        <v>33618</v>
      </c>
      <c r="G22" s="4">
        <v>817980</v>
      </c>
      <c r="H22" s="4">
        <v>1237080</v>
      </c>
      <c r="I22" s="4">
        <v>3236697</v>
      </c>
      <c r="L22" s="3">
        <v>22</v>
      </c>
      <c r="M22" s="3">
        <v>60</v>
      </c>
      <c r="N22" s="4">
        <v>22086</v>
      </c>
      <c r="O22" s="4">
        <v>22086</v>
      </c>
      <c r="P22" s="4">
        <v>23143</v>
      </c>
      <c r="Q22" s="4">
        <v>700741</v>
      </c>
      <c r="R22" s="4">
        <v>910291</v>
      </c>
      <c r="S22" s="4">
        <v>3633313</v>
      </c>
    </row>
    <row r="23" spans="2:19" x14ac:dyDescent="0.25">
      <c r="B23" s="1">
        <v>23</v>
      </c>
      <c r="C23" s="1">
        <v>61</v>
      </c>
      <c r="D23" s="2">
        <v>23660</v>
      </c>
      <c r="E23" s="2">
        <v>23660</v>
      </c>
      <c r="F23" s="2">
        <v>36258</v>
      </c>
      <c r="G23" s="2">
        <v>881470</v>
      </c>
      <c r="H23" s="2">
        <v>1326835</v>
      </c>
      <c r="I23" s="2">
        <v>3317248</v>
      </c>
      <c r="L23" s="1">
        <v>23</v>
      </c>
      <c r="M23" s="1">
        <v>61</v>
      </c>
      <c r="N23" s="2">
        <v>22086</v>
      </c>
      <c r="O23" s="2">
        <v>22086</v>
      </c>
      <c r="P23" s="2">
        <v>24861</v>
      </c>
      <c r="Q23" s="2">
        <v>749782</v>
      </c>
      <c r="R23" s="2">
        <v>972465</v>
      </c>
      <c r="S23" s="2">
        <v>3648081</v>
      </c>
    </row>
    <row r="24" spans="2:19" x14ac:dyDescent="0.25">
      <c r="B24" s="3">
        <v>24</v>
      </c>
      <c r="C24" s="3">
        <v>62</v>
      </c>
      <c r="D24" s="4">
        <v>23660</v>
      </c>
      <c r="E24" s="4">
        <v>23660</v>
      </c>
      <c r="F24" s="4">
        <v>39212</v>
      </c>
      <c r="G24" s="4">
        <v>949659</v>
      </c>
      <c r="H24" s="4">
        <v>1421724</v>
      </c>
      <c r="I24" s="4">
        <v>3401852</v>
      </c>
      <c r="L24" s="3">
        <v>24</v>
      </c>
      <c r="M24" s="3">
        <v>62</v>
      </c>
      <c r="N24" s="4">
        <v>22086</v>
      </c>
      <c r="O24" s="4">
        <v>22086</v>
      </c>
      <c r="P24" s="4">
        <v>26796</v>
      </c>
      <c r="Q24" s="4">
        <v>801448</v>
      </c>
      <c r="R24" s="4">
        <v>1037481</v>
      </c>
      <c r="S24" s="4">
        <v>3663369</v>
      </c>
    </row>
    <row r="25" spans="2:19" x14ac:dyDescent="0.25">
      <c r="B25" s="1">
        <v>25</v>
      </c>
      <c r="C25" s="1">
        <v>63</v>
      </c>
      <c r="D25" s="2">
        <v>23660</v>
      </c>
      <c r="E25" s="2">
        <v>23660</v>
      </c>
      <c r="F25" s="2">
        <v>42361</v>
      </c>
      <c r="G25" s="2">
        <v>1022697</v>
      </c>
      <c r="H25" s="2">
        <v>1521837</v>
      </c>
      <c r="I25" s="2">
        <v>3490649</v>
      </c>
      <c r="L25" s="1">
        <v>25</v>
      </c>
      <c r="M25" s="1">
        <v>63</v>
      </c>
      <c r="N25" s="2">
        <v>22086</v>
      </c>
      <c r="O25" s="2">
        <v>22086</v>
      </c>
      <c r="P25" s="2">
        <v>28845</v>
      </c>
      <c r="Q25" s="2">
        <v>855627</v>
      </c>
      <c r="R25" s="2">
        <v>1105197</v>
      </c>
      <c r="S25" s="2">
        <v>3679199</v>
      </c>
    </row>
    <row r="26" spans="2:19" x14ac:dyDescent="0.25">
      <c r="B26" s="3">
        <v>26</v>
      </c>
      <c r="C26" s="3">
        <v>64</v>
      </c>
      <c r="D26" s="4">
        <v>23660</v>
      </c>
      <c r="E26" s="4">
        <v>23660</v>
      </c>
      <c r="F26" s="4">
        <v>45607</v>
      </c>
      <c r="G26" s="4">
        <v>1100710</v>
      </c>
      <c r="H26" s="4">
        <v>1627285</v>
      </c>
      <c r="I26" s="4">
        <v>3583565</v>
      </c>
      <c r="L26" s="3">
        <v>26</v>
      </c>
      <c r="M26" s="3">
        <v>64</v>
      </c>
      <c r="N26" s="4">
        <v>22086</v>
      </c>
      <c r="O26" s="4">
        <v>22086</v>
      </c>
      <c r="P26" s="4">
        <v>30951</v>
      </c>
      <c r="Q26" s="4">
        <v>912446</v>
      </c>
      <c r="R26" s="4">
        <v>1175734</v>
      </c>
      <c r="S26" s="4">
        <v>3695559</v>
      </c>
    </row>
    <row r="27" spans="2:19" x14ac:dyDescent="0.25">
      <c r="B27" s="1">
        <v>27</v>
      </c>
      <c r="C27" s="1">
        <v>65</v>
      </c>
      <c r="D27" s="1">
        <v>0</v>
      </c>
      <c r="E27" s="1">
        <v>0</v>
      </c>
      <c r="F27" s="2">
        <v>34579</v>
      </c>
      <c r="G27" s="2">
        <v>34579</v>
      </c>
      <c r="H27" s="2">
        <v>1707382</v>
      </c>
      <c r="I27" s="2">
        <v>3290261</v>
      </c>
      <c r="L27" s="1">
        <v>27</v>
      </c>
      <c r="M27" s="1">
        <v>65</v>
      </c>
      <c r="N27" s="1">
        <v>0</v>
      </c>
      <c r="O27" s="1">
        <v>0</v>
      </c>
      <c r="P27" s="2">
        <v>24981</v>
      </c>
      <c r="Q27" s="2">
        <v>24981</v>
      </c>
      <c r="R27" s="2">
        <v>1233602</v>
      </c>
      <c r="S27" s="2">
        <v>2377249</v>
      </c>
    </row>
    <row r="28" spans="2:19" x14ac:dyDescent="0.25">
      <c r="B28" s="3">
        <v>28</v>
      </c>
      <c r="C28" s="3">
        <v>66</v>
      </c>
      <c r="D28" s="3">
        <v>0</v>
      </c>
      <c r="E28" s="3">
        <v>0</v>
      </c>
      <c r="F28" s="4">
        <v>36937</v>
      </c>
      <c r="G28" s="4">
        <v>72469</v>
      </c>
      <c r="H28" s="4">
        <v>1791370</v>
      </c>
      <c r="I28" s="4">
        <v>3359533</v>
      </c>
      <c r="L28" s="3">
        <v>28</v>
      </c>
      <c r="M28" s="3">
        <v>66</v>
      </c>
      <c r="N28" s="3">
        <v>0</v>
      </c>
      <c r="O28" s="3">
        <v>0</v>
      </c>
      <c r="P28" s="4">
        <v>26685</v>
      </c>
      <c r="Q28" s="4">
        <v>52354</v>
      </c>
      <c r="R28" s="4">
        <v>1294282</v>
      </c>
      <c r="S28" s="4">
        <v>2427294</v>
      </c>
    </row>
    <row r="29" spans="2:19" x14ac:dyDescent="0.25">
      <c r="B29" s="1">
        <v>29</v>
      </c>
      <c r="C29" s="1">
        <v>67</v>
      </c>
      <c r="D29" s="1">
        <v>0</v>
      </c>
      <c r="E29" s="1">
        <v>0</v>
      </c>
      <c r="F29" s="2">
        <v>39327</v>
      </c>
      <c r="G29" s="2">
        <v>113763</v>
      </c>
      <c r="H29" s="2">
        <v>1879310</v>
      </c>
      <c r="I29" s="2">
        <v>3431339</v>
      </c>
      <c r="L29" s="1">
        <v>29</v>
      </c>
      <c r="M29" s="1">
        <v>67</v>
      </c>
      <c r="N29" s="1">
        <v>0</v>
      </c>
      <c r="O29" s="1">
        <v>0</v>
      </c>
      <c r="P29" s="2">
        <v>28411</v>
      </c>
      <c r="Q29" s="2">
        <v>82187</v>
      </c>
      <c r="R29" s="2">
        <v>1357816</v>
      </c>
      <c r="S29" s="2">
        <v>2479169</v>
      </c>
    </row>
    <row r="30" spans="2:19" x14ac:dyDescent="0.25">
      <c r="B30" s="3">
        <v>30</v>
      </c>
      <c r="C30" s="3">
        <v>68</v>
      </c>
      <c r="D30" s="3">
        <v>0</v>
      </c>
      <c r="E30" s="3">
        <v>0</v>
      </c>
      <c r="F30" s="4">
        <v>41881</v>
      </c>
      <c r="G30" s="4">
        <v>158689</v>
      </c>
      <c r="H30" s="4">
        <v>1971494</v>
      </c>
      <c r="I30" s="4">
        <v>3505813</v>
      </c>
      <c r="L30" s="3">
        <v>30</v>
      </c>
      <c r="M30" s="3">
        <v>68</v>
      </c>
      <c r="N30" s="3">
        <v>0</v>
      </c>
      <c r="O30" s="3">
        <v>0</v>
      </c>
      <c r="P30" s="4">
        <v>30256</v>
      </c>
      <c r="Q30" s="4">
        <v>114643</v>
      </c>
      <c r="R30" s="4">
        <v>1424417</v>
      </c>
      <c r="S30" s="4">
        <v>2532972</v>
      </c>
    </row>
    <row r="31" spans="2:19" x14ac:dyDescent="0.25">
      <c r="B31" s="1">
        <v>31</v>
      </c>
      <c r="C31" s="1">
        <v>69</v>
      </c>
      <c r="D31" s="1">
        <v>0</v>
      </c>
      <c r="E31" s="1">
        <v>0</v>
      </c>
      <c r="F31" s="2">
        <v>44574</v>
      </c>
      <c r="G31" s="2">
        <v>207454</v>
      </c>
      <c r="H31" s="2">
        <v>2068130</v>
      </c>
      <c r="I31" s="2">
        <v>3583038</v>
      </c>
      <c r="L31" s="1">
        <v>31</v>
      </c>
      <c r="M31" s="1">
        <v>69</v>
      </c>
      <c r="N31" s="1">
        <v>0</v>
      </c>
      <c r="O31" s="1">
        <v>0</v>
      </c>
      <c r="P31" s="2">
        <v>32202</v>
      </c>
      <c r="Q31" s="2">
        <v>149873</v>
      </c>
      <c r="R31" s="2">
        <v>1494234</v>
      </c>
      <c r="S31" s="2">
        <v>2588763</v>
      </c>
    </row>
    <row r="32" spans="2:19" x14ac:dyDescent="0.25">
      <c r="B32" s="3">
        <v>32</v>
      </c>
      <c r="C32" s="3">
        <v>70</v>
      </c>
      <c r="D32" s="3">
        <v>0</v>
      </c>
      <c r="E32" s="3">
        <v>0</v>
      </c>
      <c r="F32" s="4">
        <v>47275</v>
      </c>
      <c r="G32" s="4">
        <v>260127</v>
      </c>
      <c r="H32" s="4">
        <v>2169221</v>
      </c>
      <c r="I32" s="4">
        <v>3662864</v>
      </c>
      <c r="L32" s="3">
        <v>32</v>
      </c>
      <c r="M32" s="3">
        <v>70</v>
      </c>
      <c r="N32" s="3">
        <v>0</v>
      </c>
      <c r="O32" s="3">
        <v>0</v>
      </c>
      <c r="P32" s="4">
        <v>34153</v>
      </c>
      <c r="Q32" s="4">
        <v>187926</v>
      </c>
      <c r="R32" s="4">
        <v>1567270</v>
      </c>
      <c r="S32" s="4">
        <v>2646433</v>
      </c>
    </row>
    <row r="33" spans="2:19" x14ac:dyDescent="0.25">
      <c r="B33" s="1">
        <v>33</v>
      </c>
      <c r="C33" s="1">
        <v>71</v>
      </c>
      <c r="D33" s="1">
        <v>0</v>
      </c>
      <c r="E33" s="1">
        <v>0</v>
      </c>
      <c r="F33" s="2">
        <v>50267</v>
      </c>
      <c r="G33" s="2">
        <v>317048</v>
      </c>
      <c r="H33" s="2">
        <v>2274981</v>
      </c>
      <c r="I33" s="2">
        <v>3745626</v>
      </c>
      <c r="L33" s="1">
        <v>33</v>
      </c>
      <c r="M33" s="1">
        <v>71</v>
      </c>
      <c r="N33" s="1">
        <v>0</v>
      </c>
      <c r="O33" s="1">
        <v>0</v>
      </c>
      <c r="P33" s="2">
        <v>36315</v>
      </c>
      <c r="Q33" s="2">
        <v>229049</v>
      </c>
      <c r="R33" s="2">
        <v>1643679</v>
      </c>
      <c r="S33" s="2">
        <v>2706224</v>
      </c>
    </row>
    <row r="34" spans="2:19" x14ac:dyDescent="0.25">
      <c r="B34" s="3">
        <v>34</v>
      </c>
      <c r="C34" s="3">
        <v>72</v>
      </c>
      <c r="D34" s="3">
        <v>0</v>
      </c>
      <c r="E34" s="3">
        <v>0</v>
      </c>
      <c r="F34" s="4">
        <v>53520</v>
      </c>
      <c r="G34" s="4">
        <v>378514</v>
      </c>
      <c r="H34" s="4">
        <v>2385510</v>
      </c>
      <c r="I34" s="4">
        <v>3831590</v>
      </c>
      <c r="L34" s="3">
        <v>34</v>
      </c>
      <c r="M34" s="3">
        <v>72</v>
      </c>
      <c r="N34" s="3">
        <v>0</v>
      </c>
      <c r="O34" s="3">
        <v>0</v>
      </c>
      <c r="P34" s="4">
        <v>38666</v>
      </c>
      <c r="Q34" s="4">
        <v>273454</v>
      </c>
      <c r="R34" s="4">
        <v>1723534</v>
      </c>
      <c r="S34" s="4">
        <v>2768329</v>
      </c>
    </row>
    <row r="35" spans="2:19" x14ac:dyDescent="0.25">
      <c r="B35" s="1">
        <v>35</v>
      </c>
      <c r="C35" s="1">
        <v>73</v>
      </c>
      <c r="D35" s="1">
        <v>0</v>
      </c>
      <c r="E35" s="1">
        <v>0</v>
      </c>
      <c r="F35" s="2">
        <v>56929</v>
      </c>
      <c r="G35" s="2">
        <v>444696</v>
      </c>
      <c r="H35" s="2">
        <v>2500755</v>
      </c>
      <c r="I35" s="2">
        <v>3920847</v>
      </c>
      <c r="L35" s="1">
        <v>35</v>
      </c>
      <c r="M35" s="1">
        <v>73</v>
      </c>
      <c r="N35" s="1">
        <v>0</v>
      </c>
      <c r="O35" s="1">
        <v>0</v>
      </c>
      <c r="P35" s="2">
        <v>41128</v>
      </c>
      <c r="Q35" s="2">
        <v>321267</v>
      </c>
      <c r="R35" s="2">
        <v>1806796</v>
      </c>
      <c r="S35" s="2">
        <v>2832812</v>
      </c>
    </row>
    <row r="36" spans="2:19" x14ac:dyDescent="0.25">
      <c r="B36" s="3">
        <v>36</v>
      </c>
      <c r="C36" s="3">
        <v>74</v>
      </c>
      <c r="D36" s="3">
        <v>0</v>
      </c>
      <c r="E36" s="3">
        <v>0</v>
      </c>
      <c r="F36" s="4">
        <v>60557</v>
      </c>
      <c r="G36" s="4">
        <v>515823</v>
      </c>
      <c r="H36" s="4">
        <v>2620752</v>
      </c>
      <c r="I36" s="4">
        <v>4013588</v>
      </c>
      <c r="L36" s="3">
        <v>36</v>
      </c>
      <c r="M36" s="3">
        <v>74</v>
      </c>
      <c r="N36" s="3">
        <v>0</v>
      </c>
      <c r="O36" s="3">
        <v>0</v>
      </c>
      <c r="P36" s="4">
        <v>43750</v>
      </c>
      <c r="Q36" s="4">
        <v>372653</v>
      </c>
      <c r="R36" s="4">
        <v>1893491</v>
      </c>
      <c r="S36" s="4">
        <v>2899813</v>
      </c>
    </row>
    <row r="37" spans="2:19" x14ac:dyDescent="0.25">
      <c r="B37" s="1">
        <v>37</v>
      </c>
      <c r="C37" s="1">
        <v>75</v>
      </c>
      <c r="D37" s="1">
        <v>0</v>
      </c>
      <c r="E37" s="1">
        <v>0</v>
      </c>
      <c r="F37" s="2">
        <v>64409</v>
      </c>
      <c r="G37" s="2">
        <v>592136</v>
      </c>
      <c r="H37" s="2">
        <v>2745646</v>
      </c>
      <c r="I37" s="2">
        <v>4110003</v>
      </c>
      <c r="L37" s="1">
        <v>37</v>
      </c>
      <c r="M37" s="1">
        <v>75</v>
      </c>
      <c r="N37" s="1">
        <v>0</v>
      </c>
      <c r="O37" s="1">
        <v>0</v>
      </c>
      <c r="P37" s="2">
        <v>46533</v>
      </c>
      <c r="Q37" s="2">
        <v>427786</v>
      </c>
      <c r="R37" s="2">
        <v>1983724</v>
      </c>
      <c r="S37" s="2">
        <v>2969468</v>
      </c>
    </row>
    <row r="38" spans="2:19" x14ac:dyDescent="0.25">
      <c r="B38" s="3">
        <v>38</v>
      </c>
      <c r="C38" s="3">
        <v>76</v>
      </c>
      <c r="D38" s="3">
        <v>0</v>
      </c>
      <c r="E38" s="3">
        <v>0</v>
      </c>
      <c r="F38" s="4">
        <v>68324</v>
      </c>
      <c r="G38" s="4">
        <v>673720</v>
      </c>
      <c r="H38" s="4">
        <v>2875456</v>
      </c>
      <c r="I38" s="4">
        <v>4210038</v>
      </c>
      <c r="L38" s="3">
        <v>38</v>
      </c>
      <c r="M38" s="3">
        <v>76</v>
      </c>
      <c r="N38" s="3">
        <v>0</v>
      </c>
      <c r="O38" s="3">
        <v>0</v>
      </c>
      <c r="P38" s="4">
        <v>49361</v>
      </c>
      <c r="Q38" s="4">
        <v>486727</v>
      </c>
      <c r="R38" s="4">
        <v>2077508</v>
      </c>
      <c r="S38" s="4">
        <v>3041739</v>
      </c>
    </row>
    <row r="39" spans="2:19" x14ac:dyDescent="0.25">
      <c r="B39" s="1">
        <v>39</v>
      </c>
      <c r="C39" s="1">
        <v>77</v>
      </c>
      <c r="D39" s="1">
        <v>0</v>
      </c>
      <c r="E39" s="1">
        <v>0</v>
      </c>
      <c r="F39" s="2">
        <v>72380</v>
      </c>
      <c r="G39" s="2">
        <v>760769</v>
      </c>
      <c r="H39" s="2">
        <v>3010439</v>
      </c>
      <c r="I39" s="2">
        <v>4313753</v>
      </c>
      <c r="L39" s="1">
        <v>39</v>
      </c>
      <c r="M39" s="1">
        <v>77</v>
      </c>
      <c r="N39" s="1">
        <v>0</v>
      </c>
      <c r="O39" s="1">
        <v>0</v>
      </c>
      <c r="P39" s="2">
        <v>52292</v>
      </c>
      <c r="Q39" s="2">
        <v>549615</v>
      </c>
      <c r="R39" s="2">
        <v>2175030</v>
      </c>
      <c r="S39" s="2">
        <v>3116669</v>
      </c>
    </row>
    <row r="40" spans="2:19" x14ac:dyDescent="0.25">
      <c r="B40" s="3">
        <v>40</v>
      </c>
      <c r="C40" s="3">
        <v>78</v>
      </c>
      <c r="D40" s="3">
        <v>0</v>
      </c>
      <c r="E40" s="3">
        <v>0</v>
      </c>
      <c r="F40" s="4">
        <v>76361</v>
      </c>
      <c r="G40" s="4">
        <v>853241</v>
      </c>
      <c r="H40" s="4">
        <v>3150557</v>
      </c>
      <c r="I40" s="4">
        <v>4420904</v>
      </c>
      <c r="L40" s="3">
        <v>40</v>
      </c>
      <c r="M40" s="3">
        <v>78</v>
      </c>
      <c r="N40" s="3">
        <v>0</v>
      </c>
      <c r="O40" s="3">
        <v>0</v>
      </c>
      <c r="P40" s="4">
        <v>55167</v>
      </c>
      <c r="Q40" s="4">
        <v>616423</v>
      </c>
      <c r="R40" s="4">
        <v>2276262</v>
      </c>
      <c r="S40" s="4">
        <v>3194081</v>
      </c>
    </row>
    <row r="41" spans="2:19" x14ac:dyDescent="0.25">
      <c r="B41" s="1">
        <v>41</v>
      </c>
      <c r="C41" s="1">
        <v>79</v>
      </c>
      <c r="D41" s="1">
        <v>0</v>
      </c>
      <c r="E41" s="1">
        <v>0</v>
      </c>
      <c r="F41" s="2">
        <v>80092</v>
      </c>
      <c r="G41" s="2">
        <v>950945</v>
      </c>
      <c r="H41" s="2">
        <v>3295681</v>
      </c>
      <c r="I41" s="2">
        <v>4531017</v>
      </c>
      <c r="L41" s="1">
        <v>41</v>
      </c>
      <c r="M41" s="1">
        <v>79</v>
      </c>
      <c r="N41" s="1">
        <v>0</v>
      </c>
      <c r="O41" s="1">
        <v>0</v>
      </c>
      <c r="P41" s="2">
        <v>57863</v>
      </c>
      <c r="Q41" s="2">
        <v>687010</v>
      </c>
      <c r="R41" s="2">
        <v>2381110</v>
      </c>
      <c r="S41" s="2">
        <v>3273633</v>
      </c>
    </row>
    <row r="42" spans="2:19" x14ac:dyDescent="0.25">
      <c r="B42" s="3">
        <v>42</v>
      </c>
      <c r="C42" s="3">
        <v>80</v>
      </c>
      <c r="D42" s="3">
        <v>0</v>
      </c>
      <c r="E42" s="3">
        <v>0</v>
      </c>
      <c r="F42" s="4">
        <v>84259</v>
      </c>
      <c r="G42" s="4">
        <v>1054305</v>
      </c>
      <c r="H42" s="4">
        <v>3446138</v>
      </c>
      <c r="I42" s="4">
        <v>4644578</v>
      </c>
      <c r="L42" s="3">
        <v>42</v>
      </c>
      <c r="M42" s="3">
        <v>80</v>
      </c>
      <c r="N42" s="3">
        <v>0</v>
      </c>
      <c r="O42" s="3">
        <v>0</v>
      </c>
      <c r="P42" s="4">
        <v>60874</v>
      </c>
      <c r="Q42" s="4">
        <v>761683</v>
      </c>
      <c r="R42" s="4">
        <v>2489811</v>
      </c>
      <c r="S42" s="4">
        <v>3355677</v>
      </c>
    </row>
    <row r="43" spans="2:19" x14ac:dyDescent="0.25">
      <c r="B43" s="1">
        <v>43</v>
      </c>
      <c r="C43" s="1">
        <v>81</v>
      </c>
      <c r="D43" s="1">
        <v>0</v>
      </c>
      <c r="E43" s="1">
        <v>0</v>
      </c>
      <c r="F43" s="2">
        <v>88553</v>
      </c>
      <c r="G43" s="2">
        <v>1163434</v>
      </c>
      <c r="H43" s="2">
        <v>3601945</v>
      </c>
      <c r="I43" s="2">
        <v>4761643</v>
      </c>
      <c r="L43" s="1">
        <v>43</v>
      </c>
      <c r="M43" s="1">
        <v>81</v>
      </c>
      <c r="N43" s="1">
        <v>0</v>
      </c>
      <c r="O43" s="1">
        <v>0</v>
      </c>
      <c r="P43" s="2">
        <v>63976</v>
      </c>
      <c r="Q43" s="2">
        <v>840524</v>
      </c>
      <c r="R43" s="2">
        <v>2602378</v>
      </c>
      <c r="S43" s="2">
        <v>3440251</v>
      </c>
    </row>
    <row r="44" spans="2:19" x14ac:dyDescent="0.25">
      <c r="B44" s="3">
        <v>44</v>
      </c>
      <c r="C44" s="3">
        <v>82</v>
      </c>
      <c r="D44" s="3">
        <v>0</v>
      </c>
      <c r="E44" s="3">
        <v>0</v>
      </c>
      <c r="F44" s="4">
        <v>92997</v>
      </c>
      <c r="G44" s="4">
        <v>1278394</v>
      </c>
      <c r="H44" s="4">
        <v>3762938</v>
      </c>
      <c r="I44" s="4">
        <v>4882304</v>
      </c>
      <c r="L44" s="3">
        <v>44</v>
      </c>
      <c r="M44" s="3">
        <v>82</v>
      </c>
      <c r="N44" s="3">
        <v>0</v>
      </c>
      <c r="O44" s="3">
        <v>0</v>
      </c>
      <c r="P44" s="4">
        <v>67187</v>
      </c>
      <c r="Q44" s="4">
        <v>923578</v>
      </c>
      <c r="R44" s="4">
        <v>2718692</v>
      </c>
      <c r="S44" s="4">
        <v>3527424</v>
      </c>
    </row>
    <row r="45" spans="2:19" x14ac:dyDescent="0.25">
      <c r="B45" s="1">
        <v>45</v>
      </c>
      <c r="C45" s="1">
        <v>83</v>
      </c>
      <c r="D45" s="1">
        <v>0</v>
      </c>
      <c r="E45" s="1">
        <v>0</v>
      </c>
      <c r="F45" s="2">
        <v>97496</v>
      </c>
      <c r="G45" s="2">
        <v>1399262</v>
      </c>
      <c r="H45" s="2">
        <v>3929226</v>
      </c>
      <c r="I45" s="2">
        <v>5006532</v>
      </c>
      <c r="L45" s="1">
        <v>45</v>
      </c>
      <c r="M45" s="1">
        <v>83</v>
      </c>
      <c r="N45" s="1">
        <v>0</v>
      </c>
      <c r="O45" s="1">
        <v>0</v>
      </c>
      <c r="P45" s="2">
        <v>70437</v>
      </c>
      <c r="Q45" s="2">
        <v>1010900</v>
      </c>
      <c r="R45" s="2">
        <v>2838830</v>
      </c>
      <c r="S45" s="2">
        <v>3617174</v>
      </c>
    </row>
    <row r="46" spans="2:19" x14ac:dyDescent="0.25">
      <c r="B46" s="3">
        <v>46</v>
      </c>
      <c r="C46" s="3">
        <v>84</v>
      </c>
      <c r="D46" s="3">
        <v>0</v>
      </c>
      <c r="E46" s="3">
        <v>0</v>
      </c>
      <c r="F46" s="4">
        <v>102830</v>
      </c>
      <c r="G46" s="4">
        <v>1526554</v>
      </c>
      <c r="H46" s="4">
        <v>4100746</v>
      </c>
      <c r="I46" s="4">
        <v>5135305</v>
      </c>
      <c r="L46" s="3">
        <v>46</v>
      </c>
      <c r="M46" s="3">
        <v>84</v>
      </c>
      <c r="N46" s="3">
        <v>0</v>
      </c>
      <c r="O46" s="3">
        <v>0</v>
      </c>
      <c r="P46" s="4">
        <v>74291</v>
      </c>
      <c r="Q46" s="4">
        <v>1102863</v>
      </c>
      <c r="R46" s="4">
        <v>2962749</v>
      </c>
      <c r="S46" s="4">
        <v>3710208</v>
      </c>
    </row>
    <row r="47" spans="2:19" x14ac:dyDescent="0.25">
      <c r="B47" s="1">
        <v>47</v>
      </c>
      <c r="C47" s="1">
        <v>85</v>
      </c>
      <c r="D47" s="1">
        <v>0</v>
      </c>
      <c r="E47" s="1">
        <v>0</v>
      </c>
      <c r="F47" s="2">
        <v>108212</v>
      </c>
      <c r="G47" s="2">
        <v>1660133</v>
      </c>
      <c r="H47" s="2">
        <v>4277104</v>
      </c>
      <c r="I47" s="2">
        <v>5268602</v>
      </c>
      <c r="L47" s="1">
        <v>47</v>
      </c>
      <c r="M47" s="1">
        <v>85</v>
      </c>
      <c r="N47" s="1">
        <v>0</v>
      </c>
      <c r="O47" s="1">
        <v>0</v>
      </c>
      <c r="P47" s="2">
        <v>78179</v>
      </c>
      <c r="Q47" s="2">
        <v>1199369</v>
      </c>
      <c r="R47" s="2">
        <v>3090163</v>
      </c>
      <c r="S47" s="2">
        <v>3806510</v>
      </c>
    </row>
    <row r="48" spans="2:19" x14ac:dyDescent="0.25">
      <c r="B48" s="3">
        <v>48</v>
      </c>
      <c r="C48" s="3">
        <v>86</v>
      </c>
      <c r="D48" s="3">
        <v>0</v>
      </c>
      <c r="E48" s="3">
        <v>0</v>
      </c>
      <c r="F48" s="4">
        <v>113716</v>
      </c>
      <c r="G48" s="4">
        <v>1799883</v>
      </c>
      <c r="H48" s="4">
        <v>4457889</v>
      </c>
      <c r="I48" s="4">
        <v>5406517</v>
      </c>
      <c r="L48" s="3">
        <v>48</v>
      </c>
      <c r="M48" s="3">
        <v>86</v>
      </c>
      <c r="N48" s="3">
        <v>0</v>
      </c>
      <c r="O48" s="3">
        <v>0</v>
      </c>
      <c r="P48" s="4">
        <v>82156</v>
      </c>
      <c r="Q48" s="4">
        <v>1300333</v>
      </c>
      <c r="R48" s="4">
        <v>3220776</v>
      </c>
      <c r="S48" s="4">
        <v>3906148</v>
      </c>
    </row>
    <row r="49" spans="2:19" x14ac:dyDescent="0.25">
      <c r="B49" s="1">
        <v>49</v>
      </c>
      <c r="C49" s="1">
        <v>87</v>
      </c>
      <c r="D49" s="1">
        <v>0</v>
      </c>
      <c r="E49" s="1">
        <v>0</v>
      </c>
      <c r="F49" s="2">
        <v>119307</v>
      </c>
      <c r="G49" s="2">
        <v>1945559</v>
      </c>
      <c r="H49" s="2">
        <v>4642507</v>
      </c>
      <c r="I49" s="2">
        <v>5549123</v>
      </c>
      <c r="L49" s="1">
        <v>49</v>
      </c>
      <c r="M49" s="1">
        <v>87</v>
      </c>
      <c r="N49" s="1">
        <v>0</v>
      </c>
      <c r="O49" s="1">
        <v>0</v>
      </c>
      <c r="P49" s="2">
        <v>86195</v>
      </c>
      <c r="Q49" s="2">
        <v>1405578</v>
      </c>
      <c r="R49" s="2">
        <v>3354157</v>
      </c>
      <c r="S49" s="2">
        <v>4009176</v>
      </c>
    </row>
    <row r="50" spans="2:19" x14ac:dyDescent="0.25">
      <c r="B50" s="3">
        <v>50</v>
      </c>
      <c r="C50" s="3">
        <v>88</v>
      </c>
      <c r="D50" s="3">
        <v>0</v>
      </c>
      <c r="E50" s="3">
        <v>0</v>
      </c>
      <c r="F50" s="4">
        <v>124853</v>
      </c>
      <c r="G50" s="4">
        <v>2096853</v>
      </c>
      <c r="H50" s="4">
        <v>4830454</v>
      </c>
      <c r="I50" s="4">
        <v>5696357</v>
      </c>
      <c r="L50" s="3">
        <v>50</v>
      </c>
      <c r="M50" s="3">
        <v>88</v>
      </c>
      <c r="N50" s="3">
        <v>0</v>
      </c>
      <c r="O50" s="3">
        <v>0</v>
      </c>
      <c r="P50" s="4">
        <v>90202</v>
      </c>
      <c r="Q50" s="4">
        <v>1514883</v>
      </c>
      <c r="R50" s="4">
        <v>3489943</v>
      </c>
      <c r="S50" s="4">
        <v>4115548</v>
      </c>
    </row>
    <row r="51" spans="2:19" x14ac:dyDescent="0.25">
      <c r="B51" s="1">
        <v>51</v>
      </c>
      <c r="C51" s="1">
        <v>89</v>
      </c>
      <c r="D51" s="1">
        <v>0</v>
      </c>
      <c r="E51" s="1">
        <v>0</v>
      </c>
      <c r="F51" s="2">
        <v>128661</v>
      </c>
      <c r="G51" s="2">
        <v>2251676</v>
      </c>
      <c r="H51" s="2">
        <v>5019383</v>
      </c>
      <c r="I51" s="2">
        <v>5846212</v>
      </c>
      <c r="L51" s="1">
        <v>51</v>
      </c>
      <c r="M51" s="1">
        <v>89</v>
      </c>
      <c r="N51" s="1">
        <v>0</v>
      </c>
      <c r="O51" s="1">
        <v>0</v>
      </c>
      <c r="P51" s="2">
        <v>92953</v>
      </c>
      <c r="Q51" s="2">
        <v>1626736</v>
      </c>
      <c r="R51" s="2">
        <v>3626439</v>
      </c>
      <c r="S51" s="2">
        <v>4223813</v>
      </c>
    </row>
    <row r="52" spans="2:19" x14ac:dyDescent="0.25">
      <c r="B52" s="3">
        <v>52</v>
      </c>
      <c r="C52" s="3">
        <v>90</v>
      </c>
      <c r="D52" s="3">
        <v>0</v>
      </c>
      <c r="E52" s="3">
        <v>0</v>
      </c>
      <c r="F52" s="4">
        <v>133357</v>
      </c>
      <c r="G52" s="4">
        <v>2410786</v>
      </c>
      <c r="H52" s="4">
        <v>5210149</v>
      </c>
      <c r="I52" s="4">
        <v>5999780</v>
      </c>
      <c r="L52" s="3">
        <v>52</v>
      </c>
      <c r="M52" s="3">
        <v>90</v>
      </c>
      <c r="N52" s="3">
        <v>0</v>
      </c>
      <c r="O52" s="3">
        <v>0</v>
      </c>
      <c r="P52" s="4">
        <v>96346</v>
      </c>
      <c r="Q52" s="4">
        <v>1741688</v>
      </c>
      <c r="R52" s="4">
        <v>3764263</v>
      </c>
      <c r="S52" s="4">
        <v>4334760</v>
      </c>
    </row>
    <row r="53" spans="2:19" x14ac:dyDescent="0.25">
      <c r="B53" s="1">
        <v>53</v>
      </c>
      <c r="C53" s="1">
        <v>91</v>
      </c>
      <c r="D53" s="1">
        <v>0</v>
      </c>
      <c r="E53" s="1">
        <v>0</v>
      </c>
      <c r="F53" s="2">
        <v>137632</v>
      </c>
      <c r="G53" s="2">
        <v>2573737</v>
      </c>
      <c r="H53" s="2">
        <v>5402500</v>
      </c>
      <c r="I53" s="2">
        <v>6156624</v>
      </c>
      <c r="L53" s="1">
        <v>53</v>
      </c>
      <c r="M53" s="1">
        <v>91</v>
      </c>
      <c r="N53" s="1">
        <v>0</v>
      </c>
      <c r="O53" s="1">
        <v>0</v>
      </c>
      <c r="P53" s="2">
        <v>99435</v>
      </c>
      <c r="Q53" s="2">
        <v>1859414</v>
      </c>
      <c r="R53" s="2">
        <v>3903230</v>
      </c>
      <c r="S53" s="2">
        <v>4448075</v>
      </c>
    </row>
    <row r="54" spans="2:19" x14ac:dyDescent="0.25">
      <c r="B54" s="3">
        <v>54</v>
      </c>
      <c r="C54" s="3">
        <v>92</v>
      </c>
      <c r="D54" s="3">
        <v>0</v>
      </c>
      <c r="E54" s="3">
        <v>0</v>
      </c>
      <c r="F54" s="4">
        <v>141432</v>
      </c>
      <c r="G54" s="4">
        <v>2740305</v>
      </c>
      <c r="H54" s="4">
        <v>5596694</v>
      </c>
      <c r="I54" s="4">
        <v>6316240</v>
      </c>
      <c r="L54" s="3">
        <v>54</v>
      </c>
      <c r="M54" s="3">
        <v>92</v>
      </c>
      <c r="N54" s="3">
        <v>0</v>
      </c>
      <c r="O54" s="3">
        <v>0</v>
      </c>
      <c r="P54" s="4">
        <v>102180</v>
      </c>
      <c r="Q54" s="4">
        <v>1979754</v>
      </c>
      <c r="R54" s="4">
        <v>4043530</v>
      </c>
      <c r="S54" s="4">
        <v>4563392</v>
      </c>
    </row>
    <row r="55" spans="2:19" x14ac:dyDescent="0.25">
      <c r="B55" s="1">
        <v>55</v>
      </c>
      <c r="C55" s="1">
        <v>93</v>
      </c>
      <c r="D55" s="1">
        <v>0</v>
      </c>
      <c r="E55" s="1">
        <v>0</v>
      </c>
      <c r="F55" s="2">
        <v>144799</v>
      </c>
      <c r="G55" s="2">
        <v>2910711</v>
      </c>
      <c r="H55" s="2">
        <v>5793791</v>
      </c>
      <c r="I55" s="2">
        <v>6478142</v>
      </c>
      <c r="L55" s="1">
        <v>55</v>
      </c>
      <c r="M55" s="1">
        <v>93</v>
      </c>
      <c r="N55" s="1">
        <v>0</v>
      </c>
      <c r="O55" s="1">
        <v>0</v>
      </c>
      <c r="P55" s="2">
        <v>104612</v>
      </c>
      <c r="Q55" s="2">
        <v>2102866</v>
      </c>
      <c r="R55" s="2">
        <v>4185927</v>
      </c>
      <c r="S55" s="2">
        <v>4680361</v>
      </c>
    </row>
    <row r="56" spans="2:19" x14ac:dyDescent="0.25">
      <c r="B56" s="3">
        <v>56</v>
      </c>
      <c r="C56" s="3">
        <v>94</v>
      </c>
      <c r="D56" s="3">
        <v>0</v>
      </c>
      <c r="E56" s="3">
        <v>0</v>
      </c>
      <c r="F56" s="4">
        <v>147823</v>
      </c>
      <c r="G56" s="4">
        <v>3085546</v>
      </c>
      <c r="H56" s="4">
        <v>5995383</v>
      </c>
      <c r="I56" s="4">
        <v>6641906</v>
      </c>
      <c r="L56" s="3">
        <v>56</v>
      </c>
      <c r="M56" s="3">
        <v>94</v>
      </c>
      <c r="N56" s="3">
        <v>0</v>
      </c>
      <c r="O56" s="3">
        <v>0</v>
      </c>
      <c r="P56" s="4">
        <v>106797</v>
      </c>
      <c r="Q56" s="4">
        <v>2229179</v>
      </c>
      <c r="R56" s="4">
        <v>4331572</v>
      </c>
      <c r="S56" s="4">
        <v>4798675</v>
      </c>
    </row>
    <row r="57" spans="2:19" x14ac:dyDescent="0.25">
      <c r="B57" s="1">
        <v>57</v>
      </c>
      <c r="C57" s="1">
        <v>95</v>
      </c>
      <c r="D57" s="1">
        <v>0</v>
      </c>
      <c r="E57" s="1">
        <v>0</v>
      </c>
      <c r="F57" s="2">
        <v>150534</v>
      </c>
      <c r="G57" s="2">
        <v>3266366</v>
      </c>
      <c r="H57" s="2">
        <v>6204764</v>
      </c>
      <c r="I57" s="2">
        <v>6807052</v>
      </c>
      <c r="L57" s="1">
        <v>57</v>
      </c>
      <c r="M57" s="1">
        <v>95</v>
      </c>
      <c r="N57" s="1">
        <v>0</v>
      </c>
      <c r="O57" s="1">
        <v>0</v>
      </c>
      <c r="P57" s="2">
        <v>108755</v>
      </c>
      <c r="Q57" s="2">
        <v>2359814</v>
      </c>
      <c r="R57" s="2">
        <v>4482843</v>
      </c>
      <c r="S57" s="2">
        <v>4917987</v>
      </c>
    </row>
    <row r="58" spans="2:19" x14ac:dyDescent="0.25">
      <c r="B58" s="3">
        <v>58</v>
      </c>
      <c r="C58" s="3">
        <v>96</v>
      </c>
      <c r="D58" s="3">
        <v>0</v>
      </c>
      <c r="E58" s="3">
        <v>0</v>
      </c>
      <c r="F58" s="4">
        <v>152536</v>
      </c>
      <c r="G58" s="4">
        <v>3455632</v>
      </c>
      <c r="H58" s="4">
        <v>6427072</v>
      </c>
      <c r="I58" s="4">
        <v>6972534</v>
      </c>
      <c r="L58" s="3">
        <v>58</v>
      </c>
      <c r="M58" s="3">
        <v>96</v>
      </c>
      <c r="N58" s="3">
        <v>0</v>
      </c>
      <c r="O58" s="3">
        <v>0</v>
      </c>
      <c r="P58" s="4">
        <v>110202</v>
      </c>
      <c r="Q58" s="4">
        <v>2496553</v>
      </c>
      <c r="R58" s="4">
        <v>4643455</v>
      </c>
      <c r="S58" s="4">
        <v>5037542</v>
      </c>
    </row>
    <row r="59" spans="2:19" x14ac:dyDescent="0.25">
      <c r="B59" s="1">
        <v>59</v>
      </c>
      <c r="C59" s="1">
        <v>97</v>
      </c>
      <c r="D59" s="1">
        <v>0</v>
      </c>
      <c r="E59" s="1">
        <v>0</v>
      </c>
      <c r="F59" s="2">
        <v>154783</v>
      </c>
      <c r="G59" s="2">
        <v>3655739</v>
      </c>
      <c r="H59" s="2">
        <v>6666153</v>
      </c>
      <c r="I59" s="2">
        <v>7138279</v>
      </c>
      <c r="L59" s="1">
        <v>59</v>
      </c>
      <c r="M59" s="1">
        <v>97</v>
      </c>
      <c r="N59" s="1">
        <v>0</v>
      </c>
      <c r="O59" s="1">
        <v>0</v>
      </c>
      <c r="P59" s="2">
        <v>111825</v>
      </c>
      <c r="Q59" s="2">
        <v>2641123</v>
      </c>
      <c r="R59" s="2">
        <v>4816184</v>
      </c>
      <c r="S59" s="2">
        <v>5157287</v>
      </c>
    </row>
    <row r="60" spans="2:19" x14ac:dyDescent="0.25">
      <c r="B60" s="3">
        <v>60</v>
      </c>
      <c r="C60" s="3">
        <v>98</v>
      </c>
      <c r="D60" s="3">
        <v>0</v>
      </c>
      <c r="E60" s="3">
        <v>0</v>
      </c>
      <c r="F60" s="4">
        <v>155791</v>
      </c>
      <c r="G60" s="4">
        <v>3871190</v>
      </c>
      <c r="H60" s="4">
        <v>6930731</v>
      </c>
      <c r="I60" s="4">
        <v>7302425</v>
      </c>
      <c r="L60" s="3">
        <v>60</v>
      </c>
      <c r="M60" s="3">
        <v>98</v>
      </c>
      <c r="N60" s="3">
        <v>0</v>
      </c>
      <c r="O60" s="3">
        <v>0</v>
      </c>
      <c r="P60" s="4">
        <v>112554</v>
      </c>
      <c r="Q60" s="4">
        <v>2796778</v>
      </c>
      <c r="R60" s="4">
        <v>5007334</v>
      </c>
      <c r="S60" s="4">
        <v>5275877</v>
      </c>
    </row>
    <row r="61" spans="2:19" x14ac:dyDescent="0.25">
      <c r="B61" s="1">
        <v>61</v>
      </c>
      <c r="C61" s="1">
        <v>99</v>
      </c>
      <c r="D61" s="1">
        <v>0</v>
      </c>
      <c r="E61" s="1">
        <v>0</v>
      </c>
      <c r="F61" s="2">
        <v>154346</v>
      </c>
      <c r="G61" s="2">
        <v>4109763</v>
      </c>
      <c r="H61" s="2">
        <v>7235873</v>
      </c>
      <c r="I61" s="2">
        <v>7461586</v>
      </c>
      <c r="L61" s="1">
        <v>61</v>
      </c>
      <c r="M61" s="1">
        <v>99</v>
      </c>
      <c r="N61" s="1">
        <v>0</v>
      </c>
      <c r="O61" s="1">
        <v>0</v>
      </c>
      <c r="P61" s="2">
        <v>111509</v>
      </c>
      <c r="Q61" s="2">
        <v>2969138</v>
      </c>
      <c r="R61" s="2">
        <v>5227791</v>
      </c>
      <c r="S61" s="2">
        <v>5390864</v>
      </c>
    </row>
    <row r="62" spans="2:19" x14ac:dyDescent="0.25">
      <c r="B62" s="3">
        <v>62</v>
      </c>
      <c r="C62" s="3">
        <v>100</v>
      </c>
      <c r="D62" s="3">
        <v>0</v>
      </c>
      <c r="E62" s="3">
        <v>0</v>
      </c>
      <c r="F62" s="4">
        <v>147937</v>
      </c>
      <c r="G62" s="4">
        <v>4385898</v>
      </c>
      <c r="H62" s="4">
        <v>7609522</v>
      </c>
      <c r="I62" s="4">
        <v>7609522</v>
      </c>
      <c r="L62" s="3">
        <v>62</v>
      </c>
      <c r="M62" s="3">
        <v>100</v>
      </c>
      <c r="N62" s="3">
        <v>0</v>
      </c>
      <c r="O62" s="3">
        <v>0</v>
      </c>
      <c r="P62" s="4">
        <v>106879</v>
      </c>
      <c r="Q62" s="4">
        <v>3168635</v>
      </c>
      <c r="R62" s="4">
        <v>5497743</v>
      </c>
      <c r="S62" s="4">
        <v>5497743</v>
      </c>
    </row>
    <row r="63" spans="2:19" x14ac:dyDescent="0.25">
      <c r="B63" s="1">
        <v>63</v>
      </c>
      <c r="C63" s="1">
        <v>101</v>
      </c>
      <c r="D63" s="1">
        <v>0</v>
      </c>
      <c r="E63" s="1">
        <v>0</v>
      </c>
      <c r="F63" s="2">
        <v>445124</v>
      </c>
      <c r="G63" s="2">
        <v>4831023</v>
      </c>
      <c r="H63" s="2">
        <v>8054647</v>
      </c>
      <c r="I63" s="2">
        <v>8054647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5E8-4EDB-4C3A-B63B-66454CDE161F}">
  <dimension ref="A1:F84"/>
  <sheetViews>
    <sheetView workbookViewId="0">
      <selection activeCell="L10" sqref="L10"/>
    </sheetView>
  </sheetViews>
  <sheetFormatPr defaultRowHeight="15" x14ac:dyDescent="0.25"/>
  <cols>
    <col min="1" max="1" width="7.5703125" bestFit="1" customWidth="1"/>
    <col min="2" max="3" width="15.28515625" bestFit="1" customWidth="1"/>
    <col min="4" max="4" width="22.85546875" bestFit="1" customWidth="1"/>
    <col min="5" max="6" width="15.28515625" bestFit="1" customWidth="1"/>
  </cols>
  <sheetData>
    <row r="1" spans="1:6" x14ac:dyDescent="0.25">
      <c r="A1" s="33" t="s">
        <v>1</v>
      </c>
      <c r="B1" s="33" t="s">
        <v>9</v>
      </c>
      <c r="C1" s="33" t="s">
        <v>10</v>
      </c>
      <c r="D1" s="33" t="s">
        <v>11</v>
      </c>
      <c r="E1" s="33" t="s">
        <v>12</v>
      </c>
      <c r="F1" s="33" t="s">
        <v>13</v>
      </c>
    </row>
    <row r="2" spans="1:6" x14ac:dyDescent="0.25">
      <c r="A2" s="34">
        <v>39</v>
      </c>
      <c r="B2" s="35">
        <v>250000</v>
      </c>
      <c r="C2" s="35">
        <v>11062</v>
      </c>
      <c r="D2" s="35">
        <v>233009</v>
      </c>
      <c r="E2" s="35">
        <v>233009</v>
      </c>
      <c r="F2" s="35">
        <v>3828852</v>
      </c>
    </row>
    <row r="3" spans="1:6" x14ac:dyDescent="0.25">
      <c r="A3" s="34">
        <v>40</v>
      </c>
      <c r="B3" s="35">
        <v>18303</v>
      </c>
      <c r="C3" s="35">
        <v>12169</v>
      </c>
      <c r="D3" s="35">
        <v>21995</v>
      </c>
      <c r="E3" s="35">
        <v>255004</v>
      </c>
      <c r="F3" s="35">
        <v>3855691</v>
      </c>
    </row>
    <row r="4" spans="1:6" x14ac:dyDescent="0.25">
      <c r="A4" s="34">
        <v>41</v>
      </c>
      <c r="B4" s="35">
        <v>18303</v>
      </c>
      <c r="C4" s="35">
        <v>13316</v>
      </c>
      <c r="D4" s="35">
        <v>23533</v>
      </c>
      <c r="E4" s="35">
        <v>278537</v>
      </c>
      <c r="F4" s="35">
        <v>3884615</v>
      </c>
    </row>
    <row r="5" spans="1:6" x14ac:dyDescent="0.25">
      <c r="A5" s="34">
        <v>42</v>
      </c>
      <c r="B5" s="35">
        <v>18303</v>
      </c>
      <c r="C5" s="35">
        <v>14580</v>
      </c>
      <c r="D5" s="35">
        <v>25197</v>
      </c>
      <c r="E5" s="35">
        <v>303734</v>
      </c>
      <c r="F5" s="35">
        <v>3915708</v>
      </c>
    </row>
    <row r="6" spans="1:6" x14ac:dyDescent="0.25">
      <c r="A6" s="34">
        <v>43</v>
      </c>
      <c r="B6" s="35">
        <v>18303</v>
      </c>
      <c r="C6" s="35">
        <v>16199</v>
      </c>
      <c r="D6" s="35">
        <v>27246</v>
      </c>
      <c r="E6" s="35">
        <v>330981</v>
      </c>
      <c r="F6" s="35">
        <v>3949383</v>
      </c>
    </row>
    <row r="7" spans="1:6" x14ac:dyDescent="0.25">
      <c r="A7" s="34">
        <v>44</v>
      </c>
      <c r="B7" s="35">
        <v>18303</v>
      </c>
      <c r="C7" s="35">
        <v>17959</v>
      </c>
      <c r="D7" s="35">
        <v>29474</v>
      </c>
      <c r="E7" s="35">
        <v>360454</v>
      </c>
      <c r="F7" s="35">
        <v>3986101</v>
      </c>
    </row>
    <row r="8" spans="1:6" x14ac:dyDescent="0.25">
      <c r="A8" s="34">
        <v>45</v>
      </c>
      <c r="B8" s="35">
        <v>18303</v>
      </c>
      <c r="C8" s="35">
        <v>19754</v>
      </c>
      <c r="D8" s="35">
        <v>31796</v>
      </c>
      <c r="E8" s="35">
        <v>392250</v>
      </c>
      <c r="F8" s="35">
        <v>4025941</v>
      </c>
    </row>
    <row r="9" spans="1:6" x14ac:dyDescent="0.25">
      <c r="A9" s="34">
        <v>46</v>
      </c>
      <c r="B9" s="35">
        <v>18303</v>
      </c>
      <c r="C9" s="35">
        <v>20790</v>
      </c>
      <c r="D9" s="35">
        <v>33421</v>
      </c>
      <c r="E9" s="35">
        <v>425671</v>
      </c>
      <c r="F9" s="35">
        <v>4068061</v>
      </c>
    </row>
    <row r="10" spans="1:6" x14ac:dyDescent="0.25">
      <c r="A10" s="34">
        <v>47</v>
      </c>
      <c r="B10" s="35">
        <v>18303</v>
      </c>
      <c r="C10" s="35">
        <v>21888</v>
      </c>
      <c r="D10" s="35">
        <v>35108</v>
      </c>
      <c r="E10" s="35">
        <v>460779</v>
      </c>
      <c r="F10" s="35">
        <v>4111621</v>
      </c>
    </row>
    <row r="11" spans="1:6" x14ac:dyDescent="0.25">
      <c r="A11" s="34">
        <v>48</v>
      </c>
      <c r="B11" s="35">
        <v>18303</v>
      </c>
      <c r="C11" s="35">
        <v>23023</v>
      </c>
      <c r="D11" s="35">
        <v>36892</v>
      </c>
      <c r="E11" s="35">
        <v>497670</v>
      </c>
      <c r="F11" s="35">
        <v>4156659</v>
      </c>
    </row>
    <row r="12" spans="1:6" x14ac:dyDescent="0.25">
      <c r="A12" s="34">
        <v>49</v>
      </c>
      <c r="B12" s="35">
        <v>15120</v>
      </c>
      <c r="C12" s="35">
        <v>24245</v>
      </c>
      <c r="D12" s="35">
        <v>39025</v>
      </c>
      <c r="E12" s="35">
        <v>536696</v>
      </c>
      <c r="F12" s="35">
        <v>1228234</v>
      </c>
    </row>
    <row r="13" spans="1:6" x14ac:dyDescent="0.25">
      <c r="A13" s="34">
        <v>50</v>
      </c>
      <c r="B13" s="35">
        <v>15120</v>
      </c>
      <c r="C13" s="35">
        <v>25531</v>
      </c>
      <c r="D13" s="35">
        <v>41011</v>
      </c>
      <c r="E13" s="35">
        <v>577707</v>
      </c>
      <c r="F13" s="35">
        <v>1276424</v>
      </c>
    </row>
    <row r="14" spans="1:6" x14ac:dyDescent="0.25">
      <c r="A14" s="34">
        <v>51</v>
      </c>
      <c r="B14" s="35">
        <v>15120</v>
      </c>
      <c r="C14" s="35">
        <v>26881</v>
      </c>
      <c r="D14" s="35">
        <v>43066</v>
      </c>
      <c r="E14" s="35">
        <v>620772</v>
      </c>
      <c r="F14" s="35">
        <v>1326284</v>
      </c>
    </row>
    <row r="15" spans="1:6" x14ac:dyDescent="0.25">
      <c r="A15" s="34">
        <v>52</v>
      </c>
      <c r="B15" s="35">
        <v>15120</v>
      </c>
      <c r="C15" s="35">
        <v>28325</v>
      </c>
      <c r="D15" s="35">
        <v>45223</v>
      </c>
      <c r="E15" s="35">
        <v>665995</v>
      </c>
      <c r="F15" s="35">
        <v>1377892</v>
      </c>
    </row>
    <row r="16" spans="1:6" x14ac:dyDescent="0.25">
      <c r="A16" s="34">
        <v>53</v>
      </c>
      <c r="B16" s="35">
        <v>15120</v>
      </c>
      <c r="C16" s="35">
        <v>29878</v>
      </c>
      <c r="D16" s="35">
        <v>47489</v>
      </c>
      <c r="E16" s="35">
        <v>713484</v>
      </c>
      <c r="F16" s="35">
        <v>1431367</v>
      </c>
    </row>
    <row r="17" spans="1:6" x14ac:dyDescent="0.25">
      <c r="A17" s="34">
        <v>54</v>
      </c>
      <c r="B17" s="35">
        <v>15120</v>
      </c>
      <c r="C17" s="35">
        <v>31495</v>
      </c>
      <c r="D17" s="35">
        <v>49840</v>
      </c>
      <c r="E17" s="35">
        <v>763324</v>
      </c>
      <c r="F17" s="35">
        <v>1486788</v>
      </c>
    </row>
    <row r="18" spans="1:6" x14ac:dyDescent="0.25">
      <c r="A18" s="34">
        <v>55</v>
      </c>
      <c r="B18" s="35">
        <v>15120</v>
      </c>
      <c r="C18" s="35">
        <v>33168</v>
      </c>
      <c r="D18" s="35">
        <v>52311</v>
      </c>
      <c r="E18" s="35">
        <v>815635</v>
      </c>
      <c r="F18" s="35">
        <v>1544186</v>
      </c>
    </row>
    <row r="19" spans="1:6" x14ac:dyDescent="0.25">
      <c r="A19" s="34">
        <v>56</v>
      </c>
      <c r="B19" s="35">
        <v>15120</v>
      </c>
      <c r="C19" s="35">
        <v>34890</v>
      </c>
      <c r="D19" s="35">
        <v>54876</v>
      </c>
      <c r="E19" s="35">
        <v>870510</v>
      </c>
      <c r="F19" s="35">
        <v>1603572</v>
      </c>
    </row>
    <row r="20" spans="1:6" x14ac:dyDescent="0.25">
      <c r="A20" s="34">
        <v>57</v>
      </c>
      <c r="B20" s="35">
        <v>15120</v>
      </c>
      <c r="C20" s="35">
        <v>36648</v>
      </c>
      <c r="D20" s="35">
        <v>57528</v>
      </c>
      <c r="E20" s="35">
        <v>928038</v>
      </c>
      <c r="F20" s="35">
        <v>1664939</v>
      </c>
    </row>
    <row r="21" spans="1:6" x14ac:dyDescent="0.25">
      <c r="A21" s="34">
        <v>58</v>
      </c>
      <c r="B21" s="35">
        <v>15120</v>
      </c>
      <c r="C21" s="35">
        <v>38444</v>
      </c>
      <c r="D21" s="35">
        <v>60297</v>
      </c>
      <c r="E21" s="35">
        <v>988336</v>
      </c>
      <c r="F21" s="35">
        <v>1728269</v>
      </c>
    </row>
    <row r="22" spans="1:6" x14ac:dyDescent="0.25">
      <c r="A22" s="34">
        <v>59</v>
      </c>
      <c r="B22" s="35">
        <v>15120</v>
      </c>
      <c r="C22" s="35">
        <v>40358</v>
      </c>
      <c r="D22" s="35">
        <v>62719</v>
      </c>
      <c r="E22" s="35">
        <v>1051054</v>
      </c>
      <c r="F22" s="35">
        <v>1793625</v>
      </c>
    </row>
    <row r="23" spans="1:6" x14ac:dyDescent="0.25">
      <c r="A23" s="34">
        <v>60</v>
      </c>
      <c r="B23" s="35">
        <v>15120</v>
      </c>
      <c r="C23" s="35">
        <v>42451</v>
      </c>
      <c r="D23" s="35">
        <v>65811</v>
      </c>
      <c r="E23" s="35">
        <v>1116865</v>
      </c>
      <c r="F23" s="35">
        <v>1861179</v>
      </c>
    </row>
    <row r="24" spans="1:6" x14ac:dyDescent="0.25">
      <c r="A24" s="34">
        <v>61</v>
      </c>
      <c r="B24" s="35">
        <v>15120</v>
      </c>
      <c r="C24" s="35">
        <v>44668</v>
      </c>
      <c r="D24" s="35">
        <v>69036</v>
      </c>
      <c r="E24" s="35">
        <v>1185902</v>
      </c>
      <c r="F24" s="35">
        <v>1931080</v>
      </c>
    </row>
    <row r="25" spans="1:6" x14ac:dyDescent="0.25">
      <c r="A25" s="34">
        <v>62</v>
      </c>
      <c r="B25" s="35">
        <v>15120</v>
      </c>
      <c r="C25" s="35">
        <v>47017</v>
      </c>
      <c r="D25" s="35">
        <v>72344</v>
      </c>
      <c r="E25" s="35">
        <v>1258246</v>
      </c>
      <c r="F25" s="35">
        <v>2003443</v>
      </c>
    </row>
    <row r="26" spans="1:6" x14ac:dyDescent="0.25">
      <c r="A26" s="34">
        <v>63</v>
      </c>
      <c r="B26" s="35">
        <v>15120</v>
      </c>
      <c r="C26" s="35">
        <v>49457</v>
      </c>
      <c r="D26" s="35">
        <v>75776</v>
      </c>
      <c r="E26" s="35">
        <v>1334022</v>
      </c>
      <c r="F26" s="35">
        <v>2078345</v>
      </c>
    </row>
    <row r="27" spans="1:6" x14ac:dyDescent="0.25">
      <c r="A27" s="34">
        <v>64</v>
      </c>
      <c r="B27" s="35">
        <v>15120</v>
      </c>
      <c r="C27" s="35">
        <v>52034</v>
      </c>
      <c r="D27" s="35">
        <v>79326</v>
      </c>
      <c r="E27" s="35">
        <v>1413348</v>
      </c>
      <c r="F27" s="35">
        <v>2155882</v>
      </c>
    </row>
    <row r="28" spans="1:6" x14ac:dyDescent="0.25">
      <c r="A28" s="34">
        <v>65</v>
      </c>
      <c r="B28" s="35">
        <v>15120</v>
      </c>
      <c r="C28" s="35">
        <v>54736</v>
      </c>
      <c r="D28" s="35">
        <v>83054</v>
      </c>
      <c r="E28" s="35">
        <v>1496401</v>
      </c>
      <c r="F28" s="35">
        <v>2236159</v>
      </c>
    </row>
    <row r="29" spans="1:6" x14ac:dyDescent="0.25">
      <c r="A29" s="34">
        <v>66</v>
      </c>
      <c r="B29">
        <v>0</v>
      </c>
      <c r="C29" s="35">
        <v>46007</v>
      </c>
      <c r="D29" s="35">
        <v>70145</v>
      </c>
      <c r="E29" s="35">
        <v>1566546</v>
      </c>
      <c r="F29" s="35">
        <v>2236354</v>
      </c>
    </row>
    <row r="30" spans="1:6" x14ac:dyDescent="0.25">
      <c r="A30" s="34">
        <v>67</v>
      </c>
      <c r="B30">
        <v>0</v>
      </c>
      <c r="C30" s="35">
        <v>48342</v>
      </c>
      <c r="D30" s="35">
        <v>73300</v>
      </c>
      <c r="E30" s="35">
        <v>1639846</v>
      </c>
      <c r="F30" s="35">
        <v>2304962</v>
      </c>
    </row>
    <row r="31" spans="1:6" x14ac:dyDescent="0.25">
      <c r="A31" s="34">
        <v>68</v>
      </c>
      <c r="B31">
        <v>0</v>
      </c>
      <c r="C31" s="35">
        <v>50814</v>
      </c>
      <c r="D31" s="35">
        <v>76647</v>
      </c>
      <c r="E31" s="35">
        <v>1716493</v>
      </c>
      <c r="F31" s="35">
        <v>2375979</v>
      </c>
    </row>
    <row r="32" spans="1:6" x14ac:dyDescent="0.25">
      <c r="A32" s="34">
        <v>69</v>
      </c>
      <c r="B32">
        <v>0</v>
      </c>
      <c r="C32" s="35">
        <v>53384</v>
      </c>
      <c r="D32" s="35">
        <v>80053</v>
      </c>
      <c r="E32" s="35">
        <v>1796546</v>
      </c>
      <c r="F32" s="35">
        <v>2449482</v>
      </c>
    </row>
    <row r="33" spans="1:6" x14ac:dyDescent="0.25">
      <c r="A33" s="34">
        <v>70</v>
      </c>
      <c r="B33">
        <v>0</v>
      </c>
      <c r="C33" s="35">
        <v>56085</v>
      </c>
      <c r="D33" s="35">
        <v>83619</v>
      </c>
      <c r="E33" s="35">
        <v>1880165</v>
      </c>
      <c r="F33" s="35">
        <v>2525563</v>
      </c>
    </row>
    <row r="34" spans="1:6" x14ac:dyDescent="0.25">
      <c r="A34" s="34">
        <v>71</v>
      </c>
      <c r="B34">
        <v>0</v>
      </c>
      <c r="C34" s="35">
        <v>58931</v>
      </c>
      <c r="D34" s="35">
        <v>87261</v>
      </c>
      <c r="E34" s="35">
        <v>1967426</v>
      </c>
      <c r="F34" s="35">
        <v>2604338</v>
      </c>
    </row>
    <row r="35" spans="1:6" x14ac:dyDescent="0.25">
      <c r="A35" s="34">
        <v>72</v>
      </c>
      <c r="B35">
        <v>0</v>
      </c>
      <c r="C35" s="35">
        <v>61954</v>
      </c>
      <c r="D35" s="35">
        <v>91028</v>
      </c>
      <c r="E35" s="35">
        <v>2058454</v>
      </c>
      <c r="F35" s="35">
        <v>2685959</v>
      </c>
    </row>
    <row r="36" spans="1:6" x14ac:dyDescent="0.25">
      <c r="A36" s="34">
        <v>73</v>
      </c>
      <c r="B36">
        <v>0</v>
      </c>
      <c r="C36" s="35">
        <v>65120</v>
      </c>
      <c r="D36" s="35">
        <v>94826</v>
      </c>
      <c r="E36" s="35">
        <v>2153281</v>
      </c>
      <c r="F36" s="35">
        <v>2770552</v>
      </c>
    </row>
    <row r="37" spans="1:6" x14ac:dyDescent="0.25">
      <c r="A37" s="34">
        <v>74</v>
      </c>
      <c r="B37">
        <v>0</v>
      </c>
      <c r="C37" s="35">
        <v>68435</v>
      </c>
      <c r="D37" s="35">
        <v>98732</v>
      </c>
      <c r="E37" s="35">
        <v>2252013</v>
      </c>
      <c r="F37" s="35">
        <v>2858237</v>
      </c>
    </row>
    <row r="38" spans="1:6" x14ac:dyDescent="0.25">
      <c r="A38" s="34">
        <v>75</v>
      </c>
      <c r="B38">
        <v>0</v>
      </c>
      <c r="C38" s="35">
        <v>71885</v>
      </c>
      <c r="D38" s="35">
        <v>102700</v>
      </c>
      <c r="E38" s="35">
        <v>2354713</v>
      </c>
      <c r="F38" s="35">
        <v>2949121</v>
      </c>
    </row>
    <row r="39" spans="1:6" x14ac:dyDescent="0.25">
      <c r="A39" s="34">
        <v>76</v>
      </c>
      <c r="B39">
        <v>0</v>
      </c>
      <c r="C39" s="35">
        <v>75490</v>
      </c>
      <c r="D39" s="35">
        <v>106830</v>
      </c>
      <c r="E39" s="35">
        <v>2461543</v>
      </c>
      <c r="F39" s="35">
        <v>3043328</v>
      </c>
    </row>
    <row r="40" spans="1:6" x14ac:dyDescent="0.25">
      <c r="A40" s="34">
        <v>77</v>
      </c>
      <c r="B40">
        <v>0</v>
      </c>
      <c r="C40" s="35">
        <v>79249</v>
      </c>
      <c r="D40" s="35">
        <v>111122</v>
      </c>
      <c r="E40" s="35">
        <v>2572665</v>
      </c>
      <c r="F40" s="35">
        <v>3140984</v>
      </c>
    </row>
    <row r="41" spans="1:6" x14ac:dyDescent="0.25">
      <c r="A41" s="34">
        <v>78</v>
      </c>
      <c r="B41">
        <v>0</v>
      </c>
      <c r="C41" s="35">
        <v>83201</v>
      </c>
      <c r="D41" s="35">
        <v>115581</v>
      </c>
      <c r="E41" s="35">
        <v>2688246</v>
      </c>
      <c r="F41" s="35">
        <v>3242248</v>
      </c>
    </row>
    <row r="42" spans="1:6" x14ac:dyDescent="0.25">
      <c r="A42" s="34">
        <v>79</v>
      </c>
      <c r="B42">
        <v>0</v>
      </c>
      <c r="C42" s="35">
        <v>87350</v>
      </c>
      <c r="D42" s="35">
        <v>120243</v>
      </c>
      <c r="E42" s="35">
        <v>2808489</v>
      </c>
      <c r="F42" s="35">
        <v>3347292</v>
      </c>
    </row>
    <row r="43" spans="1:6" x14ac:dyDescent="0.25">
      <c r="A43" s="34">
        <v>80</v>
      </c>
      <c r="B43">
        <v>0</v>
      </c>
      <c r="C43" s="35">
        <v>91702</v>
      </c>
      <c r="D43" s="35">
        <v>124944</v>
      </c>
      <c r="E43" s="35">
        <v>2933432</v>
      </c>
      <c r="F43" s="35">
        <v>3456289</v>
      </c>
    </row>
    <row r="44" spans="1:6" x14ac:dyDescent="0.25">
      <c r="A44" s="34">
        <v>81</v>
      </c>
      <c r="B44">
        <v>0</v>
      </c>
      <c r="C44" s="35">
        <v>96204</v>
      </c>
      <c r="D44" s="35">
        <v>129720</v>
      </c>
      <c r="E44" s="35">
        <v>3063152</v>
      </c>
      <c r="F44" s="35">
        <v>3569366</v>
      </c>
    </row>
    <row r="45" spans="1:6" x14ac:dyDescent="0.25">
      <c r="A45" s="34">
        <v>82</v>
      </c>
      <c r="B45">
        <v>0</v>
      </c>
      <c r="C45" s="35">
        <v>100899</v>
      </c>
      <c r="D45" s="35">
        <v>134570</v>
      </c>
      <c r="E45" s="35">
        <v>3197722</v>
      </c>
      <c r="F45" s="35">
        <v>3686679</v>
      </c>
    </row>
    <row r="46" spans="1:6" x14ac:dyDescent="0.25">
      <c r="A46" s="34">
        <v>83</v>
      </c>
      <c r="B46">
        <v>0</v>
      </c>
      <c r="C46" s="35">
        <v>105761</v>
      </c>
      <c r="D46" s="35">
        <v>139455</v>
      </c>
      <c r="E46" s="35">
        <v>3337177</v>
      </c>
      <c r="F46" s="35">
        <v>3808371</v>
      </c>
    </row>
    <row r="47" spans="1:6" x14ac:dyDescent="0.25">
      <c r="A47" s="34">
        <v>84</v>
      </c>
      <c r="B47">
        <v>0</v>
      </c>
      <c r="C47" s="35">
        <v>110859</v>
      </c>
      <c r="D47" s="35">
        <v>144356</v>
      </c>
      <c r="E47" s="35">
        <v>3481533</v>
      </c>
      <c r="F47" s="35">
        <v>3934652</v>
      </c>
    </row>
    <row r="48" spans="1:6" x14ac:dyDescent="0.25">
      <c r="A48" s="34">
        <v>85</v>
      </c>
      <c r="B48">
        <v>0</v>
      </c>
      <c r="C48" s="35">
        <v>116204</v>
      </c>
      <c r="D48" s="35">
        <v>149262</v>
      </c>
      <c r="E48" s="35">
        <v>3630794</v>
      </c>
      <c r="F48" s="35">
        <v>4065759</v>
      </c>
    </row>
    <row r="49" spans="1:6" x14ac:dyDescent="0.25">
      <c r="A49" s="34">
        <v>86</v>
      </c>
      <c r="B49">
        <v>0</v>
      </c>
      <c r="C49" s="35">
        <v>121767</v>
      </c>
      <c r="D49" s="35">
        <v>154123</v>
      </c>
      <c r="E49" s="35">
        <v>3784917</v>
      </c>
      <c r="F49" s="35">
        <v>4201908</v>
      </c>
    </row>
    <row r="50" spans="1:6" x14ac:dyDescent="0.25">
      <c r="A50" s="34">
        <v>87</v>
      </c>
      <c r="B50">
        <v>0</v>
      </c>
      <c r="C50" s="35">
        <v>127551</v>
      </c>
      <c r="D50" s="35">
        <v>158874</v>
      </c>
      <c r="E50" s="35">
        <v>3943791</v>
      </c>
      <c r="F50" s="35">
        <v>4343320</v>
      </c>
    </row>
    <row r="51" spans="1:6" x14ac:dyDescent="0.25">
      <c r="A51" s="34">
        <v>88</v>
      </c>
      <c r="B51">
        <v>0</v>
      </c>
      <c r="C51" s="35">
        <v>133560</v>
      </c>
      <c r="D51" s="35">
        <v>163447</v>
      </c>
      <c r="E51" s="35">
        <v>4107238</v>
      </c>
      <c r="F51" s="35">
        <v>4490233</v>
      </c>
    </row>
    <row r="52" spans="1:6" x14ac:dyDescent="0.25">
      <c r="A52" s="34">
        <v>89</v>
      </c>
      <c r="B52">
        <v>0</v>
      </c>
      <c r="C52" s="35">
        <v>139770</v>
      </c>
      <c r="D52" s="35">
        <v>168050</v>
      </c>
      <c r="E52" s="35">
        <v>4275288</v>
      </c>
      <c r="F52" s="35">
        <v>4642877</v>
      </c>
    </row>
    <row r="53" spans="1:6" x14ac:dyDescent="0.25">
      <c r="A53" s="34">
        <v>90</v>
      </c>
      <c r="B53">
        <v>0</v>
      </c>
      <c r="C53" s="35">
        <v>146207</v>
      </c>
      <c r="D53" s="35">
        <v>172650</v>
      </c>
      <c r="E53" s="35">
        <v>4447938</v>
      </c>
      <c r="F53" s="35">
        <v>4801508</v>
      </c>
    </row>
    <row r="54" spans="1:6" x14ac:dyDescent="0.25">
      <c r="A54" s="34">
        <v>91</v>
      </c>
      <c r="B54">
        <v>0</v>
      </c>
      <c r="C54" s="35">
        <v>152967</v>
      </c>
      <c r="D54" s="35">
        <v>177516</v>
      </c>
      <c r="E54" s="35">
        <v>4625453</v>
      </c>
      <c r="F54" s="35">
        <v>4966492</v>
      </c>
    </row>
    <row r="55" spans="1:6" x14ac:dyDescent="0.25">
      <c r="A55" s="34">
        <v>92</v>
      </c>
      <c r="B55">
        <v>0</v>
      </c>
      <c r="C55" s="35">
        <v>160008</v>
      </c>
      <c r="D55" s="35">
        <v>182907</v>
      </c>
      <c r="E55" s="35">
        <v>4808361</v>
      </c>
      <c r="F55" s="35">
        <v>5138163</v>
      </c>
    </row>
    <row r="56" spans="1:6" x14ac:dyDescent="0.25">
      <c r="A56" s="34">
        <v>93</v>
      </c>
      <c r="B56">
        <v>0</v>
      </c>
      <c r="C56" s="35">
        <v>167260</v>
      </c>
      <c r="D56" s="35">
        <v>188579</v>
      </c>
      <c r="E56" s="35">
        <v>4996939</v>
      </c>
      <c r="F56" s="35">
        <v>5316776</v>
      </c>
    </row>
    <row r="57" spans="1:6" x14ac:dyDescent="0.25">
      <c r="A57" s="34">
        <v>94</v>
      </c>
      <c r="B57">
        <v>0</v>
      </c>
      <c r="C57" s="35">
        <v>174754</v>
      </c>
      <c r="D57" s="35">
        <v>195107</v>
      </c>
      <c r="E57" s="35">
        <v>5192046</v>
      </c>
      <c r="F57" s="35">
        <v>5502607</v>
      </c>
    </row>
    <row r="58" spans="1:6" x14ac:dyDescent="0.25">
      <c r="A58" s="34">
        <v>95</v>
      </c>
      <c r="B58">
        <v>0</v>
      </c>
      <c r="C58" s="35">
        <v>182305</v>
      </c>
      <c r="D58" s="35">
        <v>202484</v>
      </c>
      <c r="E58" s="35">
        <v>5394530</v>
      </c>
      <c r="F58" s="35">
        <v>5695729</v>
      </c>
    </row>
    <row r="59" spans="1:6" x14ac:dyDescent="0.25">
      <c r="A59" s="34">
        <v>96</v>
      </c>
      <c r="B59">
        <v>0</v>
      </c>
      <c r="C59" s="35">
        <v>189838</v>
      </c>
      <c r="D59" s="35">
        <v>210095</v>
      </c>
      <c r="E59" s="35">
        <v>5604625</v>
      </c>
      <c r="F59" s="35">
        <v>5896101</v>
      </c>
    </row>
    <row r="60" spans="1:6" x14ac:dyDescent="0.25">
      <c r="A60" s="34">
        <v>97</v>
      </c>
      <c r="B60">
        <v>0</v>
      </c>
      <c r="C60" s="35">
        <v>197304</v>
      </c>
      <c r="D60" s="35">
        <v>216972</v>
      </c>
      <c r="E60" s="35">
        <v>5821597</v>
      </c>
      <c r="F60" s="35">
        <v>6103624</v>
      </c>
    </row>
    <row r="61" spans="1:6" x14ac:dyDescent="0.25">
      <c r="A61" s="34">
        <v>98</v>
      </c>
      <c r="B61">
        <v>0</v>
      </c>
      <c r="C61" s="35">
        <v>205007</v>
      </c>
      <c r="D61" s="35">
        <v>223958</v>
      </c>
      <c r="E61" s="35">
        <v>6045556</v>
      </c>
      <c r="F61" s="35">
        <v>6318524</v>
      </c>
    </row>
    <row r="62" spans="1:6" x14ac:dyDescent="0.25">
      <c r="A62" s="34">
        <v>99</v>
      </c>
      <c r="B62">
        <v>0</v>
      </c>
      <c r="C62" s="35">
        <v>213003</v>
      </c>
      <c r="D62" s="35">
        <v>230975</v>
      </c>
      <c r="E62" s="35">
        <v>6276531</v>
      </c>
      <c r="F62" s="35">
        <v>6541109</v>
      </c>
    </row>
    <row r="63" spans="1:6" x14ac:dyDescent="0.25">
      <c r="A63" s="34">
        <v>100</v>
      </c>
      <c r="B63">
        <v>0</v>
      </c>
      <c r="C63" s="35">
        <v>221253</v>
      </c>
      <c r="D63" s="35">
        <v>237892</v>
      </c>
      <c r="E63" s="35">
        <v>6514422</v>
      </c>
      <c r="F63" s="35">
        <v>6771656</v>
      </c>
    </row>
    <row r="64" spans="1:6" x14ac:dyDescent="0.25">
      <c r="A64" s="34">
        <v>101</v>
      </c>
      <c r="B64">
        <v>0</v>
      </c>
      <c r="C64" s="35">
        <v>229605</v>
      </c>
      <c r="D64" s="35">
        <v>244929</v>
      </c>
      <c r="E64" s="35">
        <v>6759351</v>
      </c>
      <c r="F64" s="35">
        <v>7010305</v>
      </c>
    </row>
    <row r="65" spans="1:6" x14ac:dyDescent="0.25">
      <c r="A65" s="34">
        <v>102</v>
      </c>
      <c r="B65">
        <v>0</v>
      </c>
      <c r="C65" s="35">
        <v>237852</v>
      </c>
      <c r="D65" s="35">
        <v>252241</v>
      </c>
      <c r="E65" s="35">
        <v>7011592</v>
      </c>
      <c r="F65" s="35">
        <v>7256981</v>
      </c>
    </row>
    <row r="66" spans="1:6" x14ac:dyDescent="0.25">
      <c r="A66" s="34">
        <v>103</v>
      </c>
      <c r="B66">
        <v>0</v>
      </c>
      <c r="C66" s="35">
        <v>246350</v>
      </c>
      <c r="D66" s="35">
        <v>259791</v>
      </c>
      <c r="E66" s="35">
        <v>7271383</v>
      </c>
      <c r="F66" s="35">
        <v>7511947</v>
      </c>
    </row>
    <row r="67" spans="1:6" x14ac:dyDescent="0.25">
      <c r="A67" s="34">
        <v>104</v>
      </c>
      <c r="B67">
        <v>0</v>
      </c>
      <c r="C67" s="35">
        <v>255055</v>
      </c>
      <c r="D67" s="35">
        <v>267764</v>
      </c>
      <c r="E67" s="35">
        <v>7539147</v>
      </c>
      <c r="F67" s="35">
        <v>7775438</v>
      </c>
    </row>
    <row r="68" spans="1:6" x14ac:dyDescent="0.25">
      <c r="A68" s="34">
        <v>105</v>
      </c>
      <c r="B68">
        <v>0</v>
      </c>
      <c r="C68" s="35">
        <v>263967</v>
      </c>
      <c r="D68" s="35">
        <v>276420</v>
      </c>
      <c r="E68" s="35">
        <v>7815568</v>
      </c>
      <c r="F68" s="35">
        <v>8047678</v>
      </c>
    </row>
    <row r="69" spans="1:6" x14ac:dyDescent="0.25">
      <c r="A69" s="34">
        <v>106</v>
      </c>
      <c r="B69">
        <v>0</v>
      </c>
      <c r="C69" s="35">
        <v>273074</v>
      </c>
      <c r="D69" s="35">
        <v>286286</v>
      </c>
      <c r="E69" s="35">
        <v>8101853</v>
      </c>
      <c r="F69" s="35">
        <v>8328865</v>
      </c>
    </row>
    <row r="70" spans="1:6" x14ac:dyDescent="0.25">
      <c r="A70" s="34">
        <v>107</v>
      </c>
      <c r="B70">
        <v>0</v>
      </c>
      <c r="C70" s="35">
        <v>282720</v>
      </c>
      <c r="D70" s="35">
        <v>296976</v>
      </c>
      <c r="E70" s="35">
        <v>8398829</v>
      </c>
      <c r="F70" s="35">
        <v>8619504</v>
      </c>
    </row>
    <row r="71" spans="1:6" x14ac:dyDescent="0.25">
      <c r="A71" s="34">
        <v>108</v>
      </c>
      <c r="B71">
        <v>0</v>
      </c>
      <c r="C71" s="35">
        <v>293680</v>
      </c>
      <c r="D71" s="35">
        <v>307915</v>
      </c>
      <c r="E71" s="35">
        <v>8706744</v>
      </c>
      <c r="F71" s="35">
        <v>8920871</v>
      </c>
    </row>
    <row r="72" spans="1:6" x14ac:dyDescent="0.25">
      <c r="A72" s="34">
        <v>109</v>
      </c>
      <c r="B72">
        <v>0</v>
      </c>
      <c r="C72" s="35">
        <v>305877</v>
      </c>
      <c r="D72" s="35">
        <v>319984</v>
      </c>
      <c r="E72" s="35">
        <v>9026728</v>
      </c>
      <c r="F72" s="35">
        <v>9234222</v>
      </c>
    </row>
    <row r="73" spans="1:6" x14ac:dyDescent="0.25">
      <c r="A73" s="34">
        <v>110</v>
      </c>
      <c r="B73">
        <v>0</v>
      </c>
      <c r="C73" s="35">
        <v>318922</v>
      </c>
      <c r="D73" s="35">
        <v>332876</v>
      </c>
      <c r="E73" s="35">
        <v>9359604</v>
      </c>
      <c r="F73" s="35">
        <v>9560422</v>
      </c>
    </row>
    <row r="74" spans="1:6" x14ac:dyDescent="0.25">
      <c r="A74" s="34">
        <v>111</v>
      </c>
      <c r="B74">
        <v>0</v>
      </c>
      <c r="C74" s="35">
        <v>332878</v>
      </c>
      <c r="D74" s="35">
        <v>346751</v>
      </c>
      <c r="E74" s="35">
        <v>9706355</v>
      </c>
      <c r="F74" s="35">
        <v>9900384</v>
      </c>
    </row>
    <row r="75" spans="1:6" x14ac:dyDescent="0.25">
      <c r="A75" s="34">
        <v>112</v>
      </c>
      <c r="B75">
        <v>0</v>
      </c>
      <c r="C75" s="35">
        <v>347788</v>
      </c>
      <c r="D75" s="35">
        <v>361559</v>
      </c>
      <c r="E75" s="35">
        <v>10067913</v>
      </c>
      <c r="F75" s="35">
        <v>10255062</v>
      </c>
    </row>
    <row r="76" spans="1:6" x14ac:dyDescent="0.25">
      <c r="A76" s="34">
        <v>113</v>
      </c>
      <c r="B76">
        <v>0</v>
      </c>
      <c r="C76" s="35">
        <v>363614</v>
      </c>
      <c r="D76" s="35">
        <v>377159</v>
      </c>
      <c r="E76" s="35">
        <v>10445073</v>
      </c>
      <c r="F76" s="35">
        <v>10625372</v>
      </c>
    </row>
    <row r="77" spans="1:6" x14ac:dyDescent="0.25">
      <c r="A77" s="34">
        <v>114</v>
      </c>
      <c r="B77">
        <v>0</v>
      </c>
      <c r="C77" s="35">
        <v>380326</v>
      </c>
      <c r="D77" s="35">
        <v>393828</v>
      </c>
      <c r="E77" s="35">
        <v>10838901</v>
      </c>
      <c r="F77" s="35">
        <v>11012200</v>
      </c>
    </row>
    <row r="78" spans="1:6" x14ac:dyDescent="0.25">
      <c r="A78" s="34">
        <v>115</v>
      </c>
      <c r="B78">
        <v>0</v>
      </c>
      <c r="C78" s="35">
        <v>397354</v>
      </c>
      <c r="D78" s="35">
        <v>410686</v>
      </c>
      <c r="E78" s="35">
        <v>11249587</v>
      </c>
      <c r="F78" s="35">
        <v>11415856</v>
      </c>
    </row>
    <row r="79" spans="1:6" x14ac:dyDescent="0.25">
      <c r="A79" s="34">
        <v>116</v>
      </c>
      <c r="B79">
        <v>0</v>
      </c>
      <c r="C79" s="35">
        <v>414642</v>
      </c>
      <c r="D79" s="35">
        <v>427777</v>
      </c>
      <c r="E79" s="35">
        <v>11677364</v>
      </c>
      <c r="F79" s="35">
        <v>11836586</v>
      </c>
    </row>
    <row r="80" spans="1:6" x14ac:dyDescent="0.25">
      <c r="A80" s="34">
        <v>117</v>
      </c>
      <c r="B80">
        <v>0</v>
      </c>
      <c r="C80" s="35">
        <v>432221</v>
      </c>
      <c r="D80" s="35">
        <v>445366</v>
      </c>
      <c r="E80" s="35">
        <v>12122730</v>
      </c>
      <c r="F80" s="35">
        <v>12274668</v>
      </c>
    </row>
    <row r="81" spans="1:6" x14ac:dyDescent="0.25">
      <c r="A81" s="34">
        <v>118</v>
      </c>
      <c r="B81">
        <v>0</v>
      </c>
      <c r="C81" s="35">
        <v>450052</v>
      </c>
      <c r="D81" s="35">
        <v>462823</v>
      </c>
      <c r="E81" s="35">
        <v>12585553</v>
      </c>
      <c r="F81" s="35">
        <v>12730337</v>
      </c>
    </row>
    <row r="82" spans="1:6" x14ac:dyDescent="0.25">
      <c r="A82" s="34">
        <v>119</v>
      </c>
      <c r="B82">
        <v>0</v>
      </c>
      <c r="C82" s="35">
        <v>468027</v>
      </c>
      <c r="D82" s="35">
        <v>480763</v>
      </c>
      <c r="E82" s="35">
        <v>13066316</v>
      </c>
      <c r="F82" s="35">
        <v>13203734</v>
      </c>
    </row>
    <row r="83" spans="1:6" x14ac:dyDescent="0.25">
      <c r="A83" s="34">
        <v>120</v>
      </c>
      <c r="B83">
        <v>0</v>
      </c>
      <c r="C83" s="35">
        <v>486096</v>
      </c>
      <c r="D83" s="35">
        <v>498645</v>
      </c>
      <c r="E83" s="35">
        <v>13564961</v>
      </c>
      <c r="F83" s="35">
        <v>13694936</v>
      </c>
    </row>
    <row r="84" spans="1:6" x14ac:dyDescent="0.25">
      <c r="A84" s="34">
        <v>121</v>
      </c>
      <c r="B84">
        <v>0</v>
      </c>
      <c r="C84" s="35">
        <v>439876</v>
      </c>
      <c r="D84" s="35">
        <v>574681</v>
      </c>
      <c r="E84" s="35">
        <v>14139642</v>
      </c>
      <c r="F84" s="35">
        <v>14139642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Wille</dc:creator>
  <cp:lastModifiedBy>Tyler Wille</cp:lastModifiedBy>
  <dcterms:created xsi:type="dcterms:W3CDTF">2026-01-27T15:58:33Z</dcterms:created>
  <dcterms:modified xsi:type="dcterms:W3CDTF">2026-01-27T16:53:11Z</dcterms:modified>
</cp:coreProperties>
</file>